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исание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Статистика" sheetId="3" state="visible" r:id="rId3"/>
    <sheet xmlns:r="http://schemas.openxmlformats.org/officeDocument/2006/relationships" name="VaR" sheetId="4" state="visible" r:id="rId4"/>
    <sheet xmlns:r="http://schemas.openxmlformats.org/officeDocument/2006/relationships" name="Графи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00"/>
    <numFmt numFmtId="165" formatCode="yyyy-mm-dd"/>
    <numFmt numFmtId="166" formatCode="DD.MM.YYYY"/>
    <numFmt numFmtId="167" formatCode="0.0000"/>
    <numFmt numFmtId="168" formatCode="0.000%"/>
    <numFmt numFmtId="169" formatCode="0.000000"/>
    <numFmt numFmtId="170" formatCode="0.0000%"/>
    <numFmt numFmtId="171" formatCode="0.000000000"/>
    <numFmt numFmtId="172" formatCode="0.0%"/>
    <numFmt numFmtId="173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9"/>
    </font>
    <font>
      <b val="1"/>
    </font>
    <font>
      <b val="1"/>
      <color rgb="00FFFFFF"/>
    </font>
    <font>
      <b val="1"/>
      <sz val="13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3" fontId="0" fillId="2" borderId="1" applyAlignment="1" pivotButton="0" quotePrefix="0" xfId="0">
      <alignment horizontal="left"/>
    </xf>
    <xf numFmtId="164" fontId="0" fillId="2" borderId="1" applyAlignment="1" pivotButton="0" quotePrefix="0" xfId="0">
      <alignment horizontal="left"/>
    </xf>
    <xf numFmtId="1" fontId="0" fillId="2" borderId="1" applyAlignment="1" pivotButton="0" quotePrefix="0" xfId="0">
      <alignment horizontal="left"/>
    </xf>
    <xf numFmtId="2" fontId="0" fillId="2" borderId="1" applyAlignment="1" pivotButton="0" quotePrefix="0" xfId="0">
      <alignment horizontal="left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0" fillId="0" borderId="1" applyAlignment="1" pivotButton="0" quotePrefix="0" xfId="0">
      <alignment horizontal="left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70" fontId="0" fillId="0" borderId="1" applyAlignment="1" pivotButton="0" quotePrefix="0" xfId="0">
      <alignment horizontal="center" vertical="center" wrapText="1"/>
    </xf>
    <xf numFmtId="171" fontId="0" fillId="0" borderId="1" applyAlignment="1" pivotButton="0" quotePrefix="0" xfId="0">
      <alignment horizontal="center" vertical="center" wrapText="1"/>
    </xf>
    <xf numFmtId="168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17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 vertical="center" wrapText="1"/>
    </xf>
    <xf numFmtId="173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1. Историческая динамика курса EUR/USD, 2006–2009</a:t>
            </a:r>
          </a:p>
        </rich>
      </tx>
    </title>
    <plotArea>
      <lineChart>
        <grouping val="standard"/>
        <ser>
          <idx val="0"/>
          <order val="0"/>
          <tx>
            <strRef>
              <f>'Данные'!B1</f>
            </strRef>
          </tx>
          <spPr>
            <a:ln xmlns:a="http://schemas.openxmlformats.org/drawingml/2006/main" w="15875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'Данные'!$A$2:$A$1023</f>
            </numRef>
          </cat>
          <val>
            <numRef>
              <f>'Данные'!$B$2:$B$1023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l"/>
        <numFmt formatCode="mm.yyyy" sourceLinked="0"/>
        <majorTickMark val="none"/>
        <minorTickMark val="none"/>
        <crossAx val="100"/>
        <majorUnit val="6"/>
        <majorTimeUnit val="months"/>
      </dateAx>
      <valAx>
        <axId val="100"/>
        <scaling>
          <orientation val="minMax"/>
          <max val="1.65"/>
          <min val="1.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долл. США за 1 евро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2. Распределение частоты значений курса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'Статистика'!B19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'Статистика'!$A$20:$A$30</f>
            </numRef>
          </cat>
          <val>
            <numRef>
              <f>'Статистика'!$B$20:$B$30</f>
            </numRef>
          </val>
        </ser>
        <ser>
          <idx val="1"/>
          <order val="1"/>
          <tx>
            <strRef>
              <f>'Статистика'!C19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'Статистика'!$A$20:$A$30</f>
            </numRef>
          </cat>
          <val>
            <numRef>
              <f>'Статистика'!$C$20:$C$30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курс, $ за €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число дней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3. Распределение дневной доходности: до и после 2008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'Статистика'!B34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'Статистика'!$A$35:$A$46</f>
            </numRef>
          </cat>
          <val>
            <numRef>
              <f>'Статистика'!$B$35:$B$46</f>
            </numRef>
          </val>
        </ser>
        <ser>
          <idx val="1"/>
          <order val="1"/>
          <tx>
            <strRef>
              <f>'Статистика'!C34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'Статистика'!$A$35:$A$46</f>
            </numRef>
          </cat>
          <val>
            <numRef>
              <f>'Статистика'!$C$35:$C$46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дневная доходность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доля дней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4. VaR позиции 1 млн $ на 1 день: до и после 2008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'VaR'!B20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dLbls>
            <numFmt formatCode="#,##0"/>
            <showLegendKey val="0"/>
            <showVal val="1"/>
            <showCatName val="0"/>
            <showSerName val="0"/>
          </dLbls>
          <cat>
            <numRef>
              <f>'VaR'!$A$21:$A$24</f>
            </numRef>
          </cat>
          <val>
            <numRef>
              <f>'VaR'!$B$21:$B$24</f>
            </numRef>
          </val>
        </ser>
        <ser>
          <idx val="1"/>
          <order val="1"/>
          <tx>
            <strRef>
              <f>'VaR'!C20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dLbls>
            <numFmt formatCode="#,##0"/>
            <showLegendKey val="0"/>
            <showVal val="1"/>
            <showCatName val="0"/>
            <showSerName val="0"/>
          </dLbls>
          <cat>
            <numRef>
              <f>'VaR'!$A$21:$A$24</f>
            </numRef>
          </cat>
          <val>
            <numRef>
              <f>'VaR'!$C$21:$C$24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долл. США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5. Динамика дневного VaR 99% (скользящее σ и EWMA), $</a:t>
            </a:r>
          </a:p>
        </rich>
      </tx>
    </title>
    <plotArea>
      <lineChart>
        <grouping val="standard"/>
        <ser>
          <idx val="0"/>
          <order val="0"/>
          <tx>
            <strRef>
              <f>'Данные'!H1</f>
            </strRef>
          </tx>
          <spPr>
            <a:ln xmlns:a="http://schemas.openxmlformats.org/drawingml/2006/main" w="15875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'Данные'!$A$2:$A$1023</f>
            </numRef>
          </cat>
          <val>
            <numRef>
              <f>'Данные'!$H$2:$H$1023</f>
            </numRef>
          </val>
          <smooth val="0"/>
        </ser>
        <ser>
          <idx val="1"/>
          <order val="1"/>
          <tx>
            <strRef>
              <f>'Данные'!I1</f>
            </strRef>
          </tx>
          <spPr>
            <a:ln xmlns:a="http://schemas.openxmlformats.org/drawingml/2006/main" w="127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'Данные'!$A$2:$A$1023</f>
            </numRef>
          </cat>
          <val>
            <numRef>
              <f>'Данные'!$I$2:$I$1023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l"/>
        <numFmt formatCode="mm.yyyy" sourceLinked="0"/>
        <majorTickMark val="none"/>
        <minorTickMark val="none"/>
        <crossAx val="100"/>
        <majorUnit val="6"/>
        <majorTimeUnit val="months"/>
      </date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долл. США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19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36</row>
      <rowOff>0</rowOff>
    </from>
    <ext cx="1188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6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Управление рисками. Оценка валютного риска (VaR)</t>
        </is>
      </c>
    </row>
    <row r="2">
      <c r="A2" t="inlineStr">
        <is>
          <t>Выполнил: Кокотанов</t>
        </is>
      </c>
    </row>
    <row r="3">
      <c r="A3" t="inlineStr">
        <is>
          <t>Актив: евро (курс EUR/USD, долл. США за 1 евро). Период: до / после кризиса 2008 г.</t>
        </is>
      </c>
    </row>
    <row r="4">
      <c r="A4" s="2" t="inlineStr">
        <is>
          <t>Источник данных: официальные ежедневные курсы Европейского центрального банка (ECB euro reference rates), https://www.ecb.europa.eu/stats/eurofxref/</t>
        </is>
      </c>
    </row>
    <row r="6">
      <c r="A6" s="3" t="inlineStr">
        <is>
          <t>Параметры расчёта (жёлтые ячейки можно менять — все расчёты пересчитаются)</t>
        </is>
      </c>
    </row>
    <row r="7">
      <c r="A7" s="4" t="inlineStr">
        <is>
          <t>Стоимость позиции P, долл. США</t>
        </is>
      </c>
      <c r="B7" s="5" t="n">
        <v>1000000</v>
      </c>
    </row>
    <row r="8">
      <c r="A8" s="4" t="inlineStr">
        <is>
          <t>Квантиль α для 95%</t>
        </is>
      </c>
      <c r="B8" s="6" t="n">
        <v>1.645</v>
      </c>
    </row>
    <row r="9">
      <c r="A9" s="4" t="inlineStr">
        <is>
          <t>Квантиль α для 99%</t>
        </is>
      </c>
      <c r="B9" s="6" t="n">
        <v>2.326</v>
      </c>
    </row>
    <row r="10">
      <c r="A10" s="4" t="inlineStr">
        <is>
          <t>Горизонт t, дней (короткий)</t>
        </is>
      </c>
      <c r="B10" s="7" t="n">
        <v>1</v>
      </c>
    </row>
    <row r="11">
      <c r="A11" s="4" t="inlineStr">
        <is>
          <t>Горизонт t, дней (длинный)</t>
        </is>
      </c>
      <c r="B11" s="7" t="n">
        <v>10</v>
      </c>
    </row>
    <row r="12">
      <c r="A12" s="4" t="inlineStr">
        <is>
          <t>Окно скользящего σ, дней</t>
        </is>
      </c>
      <c r="B12" s="7" t="n">
        <v>60</v>
      </c>
    </row>
    <row r="13">
      <c r="A13" s="4" t="inlineStr">
        <is>
          <t>λ (EWMA, RiskMetrics)</t>
        </is>
      </c>
      <c r="B13" s="8" t="n">
        <v>0.9399999999999999</v>
      </c>
    </row>
    <row r="15">
      <c r="A15" s="3" t="inlineStr">
        <is>
          <t>Этапы работы (по диаграмме вариационно-ковариационного анализа)</t>
        </is>
      </c>
    </row>
    <row r="16" ht="48" customHeight="1">
      <c r="A16" s="9" t="inlineStr">
        <is>
          <t>1. Рыночные данные</t>
        </is>
      </c>
      <c r="B16" s="10" t="inlineStr">
        <is>
          <t>Лист «Данные»: ежедневный курс EUR/USD 02.01.2006–31.12.2009 (1022 наблюдений). Период «До» – 2006–2007 гг. (510 дн.), «После» – 2008–2009 гг. (512 дн.); частота – дневная, без взвешивания (дополнительно – экспоненциальное взвешивание EWMA).</t>
        </is>
      </c>
    </row>
    <row r="17" ht="48" customHeight="1">
      <c r="A17" s="9" t="inlineStr">
        <is>
          <t>2. Доходность</t>
        </is>
      </c>
      <c r="B17" s="10" t="inlineStr">
        <is>
          <t>Лист «Данные»: процентная доходность r = Pt / Pt-1 − 1 и логарифмическая ln(Pt / Pt-1).</t>
        </is>
      </c>
    </row>
    <row r="18" ht="48" customHeight="1">
      <c r="A18" s="9" t="inlineStr">
        <is>
          <t>3. Тест: графики, стд. откл./дисперсия</t>
        </is>
      </c>
      <c r="B18" s="10" t="inlineStr">
        <is>
          <t>Лист «Статистика»: среднее, дисперсия, стандартное отклонение (волатильность), асимметрия, эксцесс по периодам, частотные распределения; лист «Графики»: динамика курса, распределение курса, распределение доходности.</t>
        </is>
      </c>
    </row>
    <row r="19" ht="48" customHeight="1">
      <c r="A19" s="9" t="inlineStr">
        <is>
          <t>4. VaR</t>
        </is>
      </c>
      <c r="B19" s="10" t="inlineStr">
        <is>
          <t>Лист «VaR»: параметрический VaR = α · σ · P · √t для 95% и 99%, сравнение с историческим VaR; динамика VaR (скользящее окно и EWMA) – на листе «Графики».</t>
        </is>
      </c>
    </row>
    <row r="21">
      <c r="A21" s="11" t="inlineStr">
        <is>
          <t>Выводы</t>
        </is>
      </c>
    </row>
    <row r="22" ht="34" customHeight="1">
      <c r="A22" s="10" t="inlineStr">
        <is>
          <t>1. В 2006–2007 гг. евро плавно укреплялся (с ~1,18 до ~1,49 $ за €), дневная волатильность составляла 0,45% (≈7,1% годовых).</t>
        </is>
      </c>
    </row>
    <row r="23" ht="34" customHeight="1">
      <c r="A23" s="10" t="inlineStr">
        <is>
          <t>2. После начала кризиса 2008 г. курс стал резко колебаться (пик 1,60 в июле 2008 г., падение до 1,25 в октябре 2008 г.); стандартное отклонение доходности выросло до 0,85% в день (≈13,5% годовых), т.е. в 1,9 раза, дисперсия – в 3,6 раза.</t>
        </is>
      </c>
    </row>
    <row r="24" ht="34" customHeight="1">
      <c r="A24" s="10" t="inlineStr">
        <is>
          <t>3. Параметрический VaR 99% позиции 1 млн $ на 1 день вырос с ≈10 438 $ до ≈19 817 $; максимальный дневной убыток вырос с 1,19% до 4,63%.</t>
        </is>
      </c>
    </row>
    <row r="25" ht="34" customHeight="1">
      <c r="A25" s="10" t="inlineStr">
        <is>
          <t>4. Распределение доходности после 2008 г. имеет «тяжёлые хвосты» (эксцесс &gt; 3): исторический VaR 99% выше параметрического, т.е. допущение о нормальности занижает риск в кризис: бэктест показал 10 дней с убытком больше VaR 99% из 512 при ожидаемых ≈5. Модель EWMA быстрее реагирует на рост волатильности, чем простое скользящее окно.</t>
        </is>
      </c>
    </row>
    <row r="26" ht="34" customHeight="1">
      <c r="A26" s="10" t="inlineStr">
        <is>
          <t>5. Валютный риск евро в кризисный период вырос примерно вдвое – при оценке VaR необходимо учитывать смену режима рынка (выбор периода анализа) и использовать взвешивание данных.</t>
        </is>
      </c>
    </row>
  </sheetData>
  <mergeCells count="5">
    <mergeCell ref="A26:B26"/>
    <mergeCell ref="A24:B24"/>
    <mergeCell ref="A25:B25"/>
    <mergeCell ref="A23:B23"/>
    <mergeCell ref="A22:B22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3" customWidth="1" min="4" max="4"/>
    <col width="14" customWidth="1" min="5" max="5"/>
    <col width="12" customWidth="1" min="6" max="6"/>
    <col width="11" customWidth="1" min="7" max="7"/>
    <col width="15" customWidth="1" min="8" max="8"/>
    <col width="15" customWidth="1" min="9" max="9"/>
  </cols>
  <sheetData>
    <row r="1" ht="45" customHeight="1">
      <c r="A1" s="12" t="inlineStr">
        <is>
          <t>Дата</t>
        </is>
      </c>
      <c r="B1" s="12" t="inlineStr">
        <is>
          <t>Курс EUR/USD</t>
        </is>
      </c>
      <c r="C1" s="12" t="inlineStr">
        <is>
          <t>Период</t>
        </is>
      </c>
      <c r="D1" s="12" t="inlineStr">
        <is>
          <t>Доходность r, %</t>
        </is>
      </c>
      <c r="E1" s="12" t="inlineStr">
        <is>
          <t>Лог. доходность</t>
        </is>
      </c>
      <c r="F1" s="12" t="inlineStr">
        <is>
          <t>Скользящее σ</t>
        </is>
      </c>
      <c r="G1" s="12" t="inlineStr">
        <is>
          <t>σ EWMA</t>
        </is>
      </c>
      <c r="H1" s="12" t="inlineStr">
        <is>
          <t>VaR 99% (скольз. σ), $</t>
        </is>
      </c>
      <c r="I1" s="12" t="inlineStr">
        <is>
          <t>VaR 99% (EWMA), $</t>
        </is>
      </c>
    </row>
    <row r="2">
      <c r="A2" s="13" t="n">
        <v>38719</v>
      </c>
      <c r="B2" s="14" t="n">
        <v>1.1826</v>
      </c>
      <c r="C2" t="inlineStr">
        <is>
          <t>До</t>
        </is>
      </c>
    </row>
    <row r="3">
      <c r="A3" s="13" t="n">
        <v>38720</v>
      </c>
      <c r="B3" s="14" t="n">
        <v>1.1875</v>
      </c>
      <c r="C3" t="inlineStr">
        <is>
          <t>До</t>
        </is>
      </c>
      <c r="D3" s="15">
        <f>B3/B2-1</f>
        <v/>
      </c>
      <c r="E3" s="16">
        <f>LN(B3/B2)</f>
        <v/>
      </c>
    </row>
    <row r="4">
      <c r="A4" s="13" t="n">
        <v>38721</v>
      </c>
      <c r="B4" s="14" t="n">
        <v>1.2083</v>
      </c>
      <c r="C4" t="inlineStr">
        <is>
          <t>До</t>
        </is>
      </c>
      <c r="D4" s="15">
        <f>B4/B3-1</f>
        <v/>
      </c>
      <c r="E4" s="16">
        <f>LN(B4/B3)</f>
        <v/>
      </c>
    </row>
    <row r="5">
      <c r="A5" s="13" t="n">
        <v>38722</v>
      </c>
      <c r="B5" s="14" t="n">
        <v>1.2088</v>
      </c>
      <c r="C5" t="inlineStr">
        <is>
          <t>До</t>
        </is>
      </c>
      <c r="D5" s="15">
        <f>B5/B4-1</f>
        <v/>
      </c>
      <c r="E5" s="16">
        <f>LN(B5/B4)</f>
        <v/>
      </c>
    </row>
    <row r="6">
      <c r="A6" s="13" t="n">
        <v>38723</v>
      </c>
      <c r="B6" s="14" t="n">
        <v>1.2093</v>
      </c>
      <c r="C6" t="inlineStr">
        <is>
          <t>До</t>
        </is>
      </c>
      <c r="D6" s="15">
        <f>B6/B5-1</f>
        <v/>
      </c>
      <c r="E6" s="16">
        <f>LN(B6/B5)</f>
        <v/>
      </c>
    </row>
    <row r="7">
      <c r="A7" s="13" t="n">
        <v>38726</v>
      </c>
      <c r="B7" s="14" t="n">
        <v>1.2078</v>
      </c>
      <c r="C7" t="inlineStr">
        <is>
          <t>До</t>
        </is>
      </c>
      <c r="D7" s="15">
        <f>B7/B6-1</f>
        <v/>
      </c>
      <c r="E7" s="16">
        <f>LN(B7/B6)</f>
        <v/>
      </c>
    </row>
    <row r="8">
      <c r="A8" s="13" t="n">
        <v>38727</v>
      </c>
      <c r="B8" s="14" t="n">
        <v>1.2064</v>
      </c>
      <c r="C8" t="inlineStr">
        <is>
          <t>До</t>
        </is>
      </c>
      <c r="D8" s="15">
        <f>B8/B7-1</f>
        <v/>
      </c>
      <c r="E8" s="16">
        <f>LN(B8/B7)</f>
        <v/>
      </c>
    </row>
    <row r="9">
      <c r="A9" s="13" t="n">
        <v>38728</v>
      </c>
      <c r="B9" s="14" t="n">
        <v>1.2088</v>
      </c>
      <c r="C9" t="inlineStr">
        <is>
          <t>До</t>
        </is>
      </c>
      <c r="D9" s="15">
        <f>B9/B8-1</f>
        <v/>
      </c>
      <c r="E9" s="16">
        <f>LN(B9/B8)</f>
        <v/>
      </c>
    </row>
    <row r="10">
      <c r="A10" s="13" t="n">
        <v>38729</v>
      </c>
      <c r="B10" s="14" t="n">
        <v>1.2113</v>
      </c>
      <c r="C10" t="inlineStr">
        <is>
          <t>До</t>
        </is>
      </c>
      <c r="D10" s="15">
        <f>B10/B9-1</f>
        <v/>
      </c>
      <c r="E10" s="16">
        <f>LN(B10/B9)</f>
        <v/>
      </c>
    </row>
    <row r="11">
      <c r="A11" s="13" t="n">
        <v>38730</v>
      </c>
      <c r="B11" s="14" t="n">
        <v>1.2039</v>
      </c>
      <c r="C11" t="inlineStr">
        <is>
          <t>До</t>
        </is>
      </c>
      <c r="D11" s="15">
        <f>B11/B10-1</f>
        <v/>
      </c>
      <c r="E11" s="16">
        <f>LN(B11/B10)</f>
        <v/>
      </c>
    </row>
    <row r="12">
      <c r="A12" s="13" t="n">
        <v>38733</v>
      </c>
      <c r="B12" s="14" t="n">
        <v>1.2112</v>
      </c>
      <c r="C12" t="inlineStr">
        <is>
          <t>До</t>
        </is>
      </c>
      <c r="D12" s="15">
        <f>B12/B11-1</f>
        <v/>
      </c>
      <c r="E12" s="16">
        <f>LN(B12/B11)</f>
        <v/>
      </c>
    </row>
    <row r="13">
      <c r="A13" s="13" t="n">
        <v>38734</v>
      </c>
      <c r="B13" s="14" t="n">
        <v>1.2075</v>
      </c>
      <c r="C13" t="inlineStr">
        <is>
          <t>До</t>
        </is>
      </c>
      <c r="D13" s="15">
        <f>B13/B12-1</f>
        <v/>
      </c>
      <c r="E13" s="16">
        <f>LN(B13/B12)</f>
        <v/>
      </c>
    </row>
    <row r="14">
      <c r="A14" s="13" t="n">
        <v>38735</v>
      </c>
      <c r="B14" s="14" t="n">
        <v>1.2125</v>
      </c>
      <c r="C14" t="inlineStr">
        <is>
          <t>До</t>
        </is>
      </c>
      <c r="D14" s="15">
        <f>B14/B13-1</f>
        <v/>
      </c>
      <c r="E14" s="16">
        <f>LN(B14/B13)</f>
        <v/>
      </c>
    </row>
    <row r="15">
      <c r="A15" s="13" t="n">
        <v>38736</v>
      </c>
      <c r="B15" s="14" t="n">
        <v>1.2073</v>
      </c>
      <c r="C15" t="inlineStr">
        <is>
          <t>До</t>
        </is>
      </c>
      <c r="D15" s="15">
        <f>B15/B14-1</f>
        <v/>
      </c>
      <c r="E15" s="16">
        <f>LN(B15/B14)</f>
        <v/>
      </c>
    </row>
    <row r="16">
      <c r="A16" s="13" t="n">
        <v>38737</v>
      </c>
      <c r="B16" s="14" t="n">
        <v>1.2068</v>
      </c>
      <c r="C16" t="inlineStr">
        <is>
          <t>До</t>
        </is>
      </c>
      <c r="D16" s="15">
        <f>B16/B15-1</f>
        <v/>
      </c>
      <c r="E16" s="16">
        <f>LN(B16/B15)</f>
        <v/>
      </c>
    </row>
    <row r="17">
      <c r="A17" s="13" t="n">
        <v>38740</v>
      </c>
      <c r="B17" s="14" t="n">
        <v>1.2277</v>
      </c>
      <c r="C17" t="inlineStr">
        <is>
          <t>До</t>
        </is>
      </c>
      <c r="D17" s="15">
        <f>B17/B16-1</f>
        <v/>
      </c>
      <c r="E17" s="16">
        <f>LN(B17/B16)</f>
        <v/>
      </c>
    </row>
    <row r="18">
      <c r="A18" s="13" t="n">
        <v>38741</v>
      </c>
      <c r="B18" s="14" t="n">
        <v>1.2272</v>
      </c>
      <c r="C18" t="inlineStr">
        <is>
          <t>До</t>
        </is>
      </c>
      <c r="D18" s="15">
        <f>B18/B17-1</f>
        <v/>
      </c>
      <c r="E18" s="16">
        <f>LN(B18/B17)</f>
        <v/>
      </c>
    </row>
    <row r="19">
      <c r="A19" s="13" t="n">
        <v>38742</v>
      </c>
      <c r="B19" s="14" t="n">
        <v>1.2294</v>
      </c>
      <c r="C19" t="inlineStr">
        <is>
          <t>До</t>
        </is>
      </c>
      <c r="D19" s="15">
        <f>B19/B18-1</f>
        <v/>
      </c>
      <c r="E19" s="16">
        <f>LN(B19/B18)</f>
        <v/>
      </c>
    </row>
    <row r="20">
      <c r="A20" s="13" t="n">
        <v>38743</v>
      </c>
      <c r="B20" s="14" t="n">
        <v>1.2254</v>
      </c>
      <c r="C20" t="inlineStr">
        <is>
          <t>До</t>
        </is>
      </c>
      <c r="D20" s="15">
        <f>B20/B19-1</f>
        <v/>
      </c>
      <c r="E20" s="16">
        <f>LN(B20/B19)</f>
        <v/>
      </c>
    </row>
    <row r="21">
      <c r="A21" s="13" t="n">
        <v>38744</v>
      </c>
      <c r="B21" s="14" t="n">
        <v>1.2172</v>
      </c>
      <c r="C21" t="inlineStr">
        <is>
          <t>До</t>
        </is>
      </c>
      <c r="D21" s="15">
        <f>B21/B20-1</f>
        <v/>
      </c>
      <c r="E21" s="16">
        <f>LN(B21/B20)</f>
        <v/>
      </c>
    </row>
    <row r="22">
      <c r="A22" s="13" t="n">
        <v>38747</v>
      </c>
      <c r="B22" s="14" t="n">
        <v>1.2082</v>
      </c>
      <c r="C22" t="inlineStr">
        <is>
          <t>До</t>
        </is>
      </c>
      <c r="D22" s="15">
        <f>B22/B21-1</f>
        <v/>
      </c>
      <c r="E22" s="16">
        <f>LN(B22/B21)</f>
        <v/>
      </c>
    </row>
    <row r="23">
      <c r="A23" s="13" t="n">
        <v>38748</v>
      </c>
      <c r="B23" s="14" t="n">
        <v>1.2118</v>
      </c>
      <c r="C23" t="inlineStr">
        <is>
          <t>До</t>
        </is>
      </c>
      <c r="D23" s="15">
        <f>B23/B22-1</f>
        <v/>
      </c>
      <c r="E23" s="16">
        <f>LN(B23/B22)</f>
        <v/>
      </c>
      <c r="G23" s="15">
        <f>_xlfn.STDEV.S(D3:D22)</f>
        <v/>
      </c>
    </row>
    <row r="24">
      <c r="A24" s="13" t="n">
        <v>38749</v>
      </c>
      <c r="B24" s="14" t="n">
        <v>1.2092</v>
      </c>
      <c r="C24" t="inlineStr">
        <is>
          <t>До</t>
        </is>
      </c>
      <c r="D24" s="15">
        <f>B24/B23-1</f>
        <v/>
      </c>
      <c r="E24" s="16">
        <f>LN(B24/B23)</f>
        <v/>
      </c>
      <c r="G24" s="15">
        <f>SQRT(Описание!$B$13*G23^2+(1-Описание!$B$13)*D23^2)</f>
        <v/>
      </c>
    </row>
    <row r="25">
      <c r="A25" s="13" t="n">
        <v>38750</v>
      </c>
      <c r="B25" s="14" t="n">
        <v>1.2066</v>
      </c>
      <c r="C25" t="inlineStr">
        <is>
          <t>До</t>
        </is>
      </c>
      <c r="D25" s="15">
        <f>B25/B24-1</f>
        <v/>
      </c>
      <c r="E25" s="16">
        <f>LN(B25/B24)</f>
        <v/>
      </c>
      <c r="G25" s="15">
        <f>SQRT(Описание!$B$13*G24^2+(1-Описание!$B$13)*D24^2)</f>
        <v/>
      </c>
    </row>
    <row r="26">
      <c r="A26" s="13" t="n">
        <v>38751</v>
      </c>
      <c r="B26" s="14" t="n">
        <v>1.2061</v>
      </c>
      <c r="C26" t="inlineStr">
        <is>
          <t>До</t>
        </is>
      </c>
      <c r="D26" s="15">
        <f>B26/B25-1</f>
        <v/>
      </c>
      <c r="E26" s="16">
        <f>LN(B26/B25)</f>
        <v/>
      </c>
      <c r="G26" s="15">
        <f>SQRT(Описание!$B$13*G25^2+(1-Описание!$B$13)*D25^2)</f>
        <v/>
      </c>
    </row>
    <row r="27">
      <c r="A27" s="13" t="n">
        <v>38754</v>
      </c>
      <c r="B27" s="14" t="n">
        <v>1.1981</v>
      </c>
      <c r="C27" t="inlineStr">
        <is>
          <t>До</t>
        </is>
      </c>
      <c r="D27" s="15">
        <f>B27/B26-1</f>
        <v/>
      </c>
      <c r="E27" s="16">
        <f>LN(B27/B26)</f>
        <v/>
      </c>
      <c r="G27" s="15">
        <f>SQRT(Описание!$B$13*G26^2+(1-Описание!$B$13)*D26^2)</f>
        <v/>
      </c>
    </row>
    <row r="28">
      <c r="A28" s="13" t="n">
        <v>38755</v>
      </c>
      <c r="B28" s="14" t="n">
        <v>1.1973</v>
      </c>
      <c r="C28" t="inlineStr">
        <is>
          <t>До</t>
        </is>
      </c>
      <c r="D28" s="15">
        <f>B28/B27-1</f>
        <v/>
      </c>
      <c r="E28" s="16">
        <f>LN(B28/B27)</f>
        <v/>
      </c>
      <c r="G28" s="15">
        <f>SQRT(Описание!$B$13*G27^2+(1-Описание!$B$13)*D27^2)</f>
        <v/>
      </c>
    </row>
    <row r="29">
      <c r="A29" s="13" t="n">
        <v>38756</v>
      </c>
      <c r="B29" s="14" t="n">
        <v>1.1948</v>
      </c>
      <c r="C29" t="inlineStr">
        <is>
          <t>До</t>
        </is>
      </c>
      <c r="D29" s="15">
        <f>B29/B28-1</f>
        <v/>
      </c>
      <c r="E29" s="16">
        <f>LN(B29/B28)</f>
        <v/>
      </c>
      <c r="G29" s="15">
        <f>SQRT(Описание!$B$13*G28^2+(1-Описание!$B$13)*D28^2)</f>
        <v/>
      </c>
    </row>
    <row r="30">
      <c r="A30" s="13" t="n">
        <v>38757</v>
      </c>
      <c r="B30" s="14" t="n">
        <v>1.1972</v>
      </c>
      <c r="C30" t="inlineStr">
        <is>
          <t>До</t>
        </is>
      </c>
      <c r="D30" s="15">
        <f>B30/B29-1</f>
        <v/>
      </c>
      <c r="E30" s="16">
        <f>LN(B30/B29)</f>
        <v/>
      </c>
      <c r="G30" s="15">
        <f>SQRT(Описание!$B$13*G29^2+(1-Описание!$B$13)*D29^2)</f>
        <v/>
      </c>
    </row>
    <row r="31">
      <c r="A31" s="13" t="n">
        <v>38758</v>
      </c>
      <c r="B31" s="14" t="n">
        <v>1.197</v>
      </c>
      <c r="C31" t="inlineStr">
        <is>
          <t>До</t>
        </is>
      </c>
      <c r="D31" s="15">
        <f>B31/B30-1</f>
        <v/>
      </c>
      <c r="E31" s="16">
        <f>LN(B31/B30)</f>
        <v/>
      </c>
      <c r="G31" s="15">
        <f>SQRT(Описание!$B$13*G30^2+(1-Описание!$B$13)*D30^2)</f>
        <v/>
      </c>
    </row>
    <row r="32">
      <c r="A32" s="13" t="n">
        <v>38761</v>
      </c>
      <c r="B32" s="14" t="n">
        <v>1.1888</v>
      </c>
      <c r="C32" t="inlineStr">
        <is>
          <t>До</t>
        </is>
      </c>
      <c r="D32" s="15">
        <f>B32/B31-1</f>
        <v/>
      </c>
      <c r="E32" s="16">
        <f>LN(B32/B31)</f>
        <v/>
      </c>
      <c r="G32" s="15">
        <f>SQRT(Описание!$B$13*G31^2+(1-Описание!$B$13)*D31^2)</f>
        <v/>
      </c>
    </row>
    <row r="33">
      <c r="A33" s="13" t="n">
        <v>38762</v>
      </c>
      <c r="B33" s="14" t="n">
        <v>1.1898</v>
      </c>
      <c r="C33" t="inlineStr">
        <is>
          <t>До</t>
        </is>
      </c>
      <c r="D33" s="15">
        <f>B33/B32-1</f>
        <v/>
      </c>
      <c r="E33" s="16">
        <f>LN(B33/B32)</f>
        <v/>
      </c>
      <c r="G33" s="15">
        <f>SQRT(Описание!$B$13*G32^2+(1-Описание!$B$13)*D32^2)</f>
        <v/>
      </c>
    </row>
    <row r="34">
      <c r="A34" s="13" t="n">
        <v>38763</v>
      </c>
      <c r="B34" s="14" t="n">
        <v>1.1904</v>
      </c>
      <c r="C34" t="inlineStr">
        <is>
          <t>До</t>
        </is>
      </c>
      <c r="D34" s="15">
        <f>B34/B33-1</f>
        <v/>
      </c>
      <c r="E34" s="16">
        <f>LN(B34/B33)</f>
        <v/>
      </c>
      <c r="G34" s="15">
        <f>SQRT(Описание!$B$13*G33^2+(1-Описание!$B$13)*D33^2)</f>
        <v/>
      </c>
    </row>
    <row r="35">
      <c r="A35" s="13" t="n">
        <v>38764</v>
      </c>
      <c r="B35" s="14" t="n">
        <v>1.1858</v>
      </c>
      <c r="C35" t="inlineStr">
        <is>
          <t>До</t>
        </is>
      </c>
      <c r="D35" s="15">
        <f>B35/B34-1</f>
        <v/>
      </c>
      <c r="E35" s="16">
        <f>LN(B35/B34)</f>
        <v/>
      </c>
      <c r="G35" s="15">
        <f>SQRT(Описание!$B$13*G34^2+(1-Описание!$B$13)*D34^2)</f>
        <v/>
      </c>
    </row>
    <row r="36">
      <c r="A36" s="13" t="n">
        <v>38765</v>
      </c>
      <c r="B36" s="14" t="n">
        <v>1.1863</v>
      </c>
      <c r="C36" t="inlineStr">
        <is>
          <t>До</t>
        </is>
      </c>
      <c r="D36" s="15">
        <f>B36/B35-1</f>
        <v/>
      </c>
      <c r="E36" s="16">
        <f>LN(B36/B35)</f>
        <v/>
      </c>
      <c r="G36" s="15">
        <f>SQRT(Описание!$B$13*G35^2+(1-Описание!$B$13)*D35^2)</f>
        <v/>
      </c>
    </row>
    <row r="37">
      <c r="A37" s="13" t="n">
        <v>38768</v>
      </c>
      <c r="B37" s="14" t="n">
        <v>1.1932</v>
      </c>
      <c r="C37" t="inlineStr">
        <is>
          <t>До</t>
        </is>
      </c>
      <c r="D37" s="15">
        <f>B37/B36-1</f>
        <v/>
      </c>
      <c r="E37" s="16">
        <f>LN(B37/B36)</f>
        <v/>
      </c>
      <c r="G37" s="15">
        <f>SQRT(Описание!$B$13*G36^2+(1-Описание!$B$13)*D36^2)</f>
        <v/>
      </c>
    </row>
    <row r="38">
      <c r="A38" s="13" t="n">
        <v>38769</v>
      </c>
      <c r="B38" s="14" t="n">
        <v>1.1906</v>
      </c>
      <c r="C38" t="inlineStr">
        <is>
          <t>До</t>
        </is>
      </c>
      <c r="D38" s="15">
        <f>B38/B37-1</f>
        <v/>
      </c>
      <c r="E38" s="16">
        <f>LN(B38/B37)</f>
        <v/>
      </c>
      <c r="G38" s="15">
        <f>SQRT(Описание!$B$13*G37^2+(1-Описание!$B$13)*D37^2)</f>
        <v/>
      </c>
    </row>
    <row r="39">
      <c r="A39" s="13" t="n">
        <v>38770</v>
      </c>
      <c r="B39" s="14" t="n">
        <v>1.1875</v>
      </c>
      <c r="C39" t="inlineStr">
        <is>
          <t>До</t>
        </is>
      </c>
      <c r="D39" s="15">
        <f>B39/B38-1</f>
        <v/>
      </c>
      <c r="E39" s="16">
        <f>LN(B39/B38)</f>
        <v/>
      </c>
      <c r="G39" s="15">
        <f>SQRT(Описание!$B$13*G38^2+(1-Описание!$B$13)*D38^2)</f>
        <v/>
      </c>
    </row>
    <row r="40">
      <c r="A40" s="13" t="n">
        <v>38771</v>
      </c>
      <c r="B40" s="14" t="n">
        <v>1.1957</v>
      </c>
      <c r="C40" t="inlineStr">
        <is>
          <t>До</t>
        </is>
      </c>
      <c r="D40" s="15">
        <f>B40/B39-1</f>
        <v/>
      </c>
      <c r="E40" s="16">
        <f>LN(B40/B39)</f>
        <v/>
      </c>
      <c r="G40" s="15">
        <f>SQRT(Описание!$B$13*G39^2+(1-Описание!$B$13)*D39^2)</f>
        <v/>
      </c>
    </row>
    <row r="41">
      <c r="A41" s="13" t="n">
        <v>38772</v>
      </c>
      <c r="B41" s="14" t="n">
        <v>1.1896</v>
      </c>
      <c r="C41" t="inlineStr">
        <is>
          <t>До</t>
        </is>
      </c>
      <c r="D41" s="15">
        <f>B41/B40-1</f>
        <v/>
      </c>
      <c r="E41" s="16">
        <f>LN(B41/B40)</f>
        <v/>
      </c>
      <c r="G41" s="15">
        <f>SQRT(Описание!$B$13*G40^2+(1-Описание!$B$13)*D40^2)</f>
        <v/>
      </c>
    </row>
    <row r="42">
      <c r="A42" s="13" t="n">
        <v>38775</v>
      </c>
      <c r="B42" s="14" t="n">
        <v>1.1852</v>
      </c>
      <c r="C42" t="inlineStr">
        <is>
          <t>До</t>
        </is>
      </c>
      <c r="D42" s="15">
        <f>B42/B41-1</f>
        <v/>
      </c>
      <c r="E42" s="16">
        <f>LN(B42/B41)</f>
        <v/>
      </c>
      <c r="G42" s="15">
        <f>SQRT(Описание!$B$13*G41^2+(1-Описание!$B$13)*D41^2)</f>
        <v/>
      </c>
    </row>
    <row r="43">
      <c r="A43" s="13" t="n">
        <v>38776</v>
      </c>
      <c r="B43" s="14" t="n">
        <v>1.1875</v>
      </c>
      <c r="C43" t="inlineStr">
        <is>
          <t>До</t>
        </is>
      </c>
      <c r="D43" s="15">
        <f>B43/B42-1</f>
        <v/>
      </c>
      <c r="E43" s="16">
        <f>LN(B43/B42)</f>
        <v/>
      </c>
      <c r="G43" s="15">
        <f>SQRT(Описание!$B$13*G42^2+(1-Описание!$B$13)*D42^2)</f>
        <v/>
      </c>
    </row>
    <row r="44">
      <c r="A44" s="13" t="n">
        <v>38777</v>
      </c>
      <c r="B44" s="14" t="n">
        <v>1.1954</v>
      </c>
      <c r="C44" t="inlineStr">
        <is>
          <t>До</t>
        </is>
      </c>
      <c r="D44" s="15">
        <f>B44/B43-1</f>
        <v/>
      </c>
      <c r="E44" s="16">
        <f>LN(B44/B43)</f>
        <v/>
      </c>
      <c r="G44" s="15">
        <f>SQRT(Описание!$B$13*G43^2+(1-Описание!$B$13)*D43^2)</f>
        <v/>
      </c>
    </row>
    <row r="45">
      <c r="A45" s="13" t="n">
        <v>38778</v>
      </c>
      <c r="B45" s="14" t="n">
        <v>1.1921</v>
      </c>
      <c r="C45" t="inlineStr">
        <is>
          <t>До</t>
        </is>
      </c>
      <c r="D45" s="15">
        <f>B45/B44-1</f>
        <v/>
      </c>
      <c r="E45" s="16">
        <f>LN(B45/B44)</f>
        <v/>
      </c>
      <c r="G45" s="15">
        <f>SQRT(Описание!$B$13*G44^2+(1-Описание!$B$13)*D44^2)</f>
        <v/>
      </c>
    </row>
    <row r="46">
      <c r="A46" s="13" t="n">
        <v>38779</v>
      </c>
      <c r="B46" s="14" t="n">
        <v>1.202</v>
      </c>
      <c r="C46" t="inlineStr">
        <is>
          <t>До</t>
        </is>
      </c>
      <c r="D46" s="15">
        <f>B46/B45-1</f>
        <v/>
      </c>
      <c r="E46" s="16">
        <f>LN(B46/B45)</f>
        <v/>
      </c>
      <c r="G46" s="15">
        <f>SQRT(Описание!$B$13*G45^2+(1-Описание!$B$13)*D45^2)</f>
        <v/>
      </c>
    </row>
    <row r="47">
      <c r="A47" s="13" t="n">
        <v>38782</v>
      </c>
      <c r="B47" s="14" t="n">
        <v>1.2017</v>
      </c>
      <c r="C47" t="inlineStr">
        <is>
          <t>До</t>
        </is>
      </c>
      <c r="D47" s="15">
        <f>B47/B46-1</f>
        <v/>
      </c>
      <c r="E47" s="16">
        <f>LN(B47/B46)</f>
        <v/>
      </c>
      <c r="G47" s="15">
        <f>SQRT(Описание!$B$13*G46^2+(1-Описание!$B$13)*D46^2)</f>
        <v/>
      </c>
    </row>
    <row r="48">
      <c r="A48" s="13" t="n">
        <v>38783</v>
      </c>
      <c r="B48" s="14" t="n">
        <v>1.1913</v>
      </c>
      <c r="C48" t="inlineStr">
        <is>
          <t>До</t>
        </is>
      </c>
      <c r="D48" s="15">
        <f>B48/B47-1</f>
        <v/>
      </c>
      <c r="E48" s="16">
        <f>LN(B48/B47)</f>
        <v/>
      </c>
      <c r="G48" s="15">
        <f>SQRT(Описание!$B$13*G47^2+(1-Описание!$B$13)*D47^2)</f>
        <v/>
      </c>
    </row>
    <row r="49">
      <c r="A49" s="13" t="n">
        <v>38784</v>
      </c>
      <c r="B49" s="14" t="n">
        <v>1.1914</v>
      </c>
      <c r="C49" t="inlineStr">
        <is>
          <t>До</t>
        </is>
      </c>
      <c r="D49" s="15">
        <f>B49/B48-1</f>
        <v/>
      </c>
      <c r="E49" s="16">
        <f>LN(B49/B48)</f>
        <v/>
      </c>
      <c r="G49" s="15">
        <f>SQRT(Описание!$B$13*G48^2+(1-Описание!$B$13)*D48^2)</f>
        <v/>
      </c>
    </row>
    <row r="50">
      <c r="A50" s="13" t="n">
        <v>38785</v>
      </c>
      <c r="B50" s="14" t="n">
        <v>1.192</v>
      </c>
      <c r="C50" t="inlineStr">
        <is>
          <t>До</t>
        </is>
      </c>
      <c r="D50" s="15">
        <f>B50/B49-1</f>
        <v/>
      </c>
      <c r="E50" s="16">
        <f>LN(B50/B49)</f>
        <v/>
      </c>
      <c r="G50" s="15">
        <f>SQRT(Описание!$B$13*G49^2+(1-Описание!$B$13)*D49^2)</f>
        <v/>
      </c>
    </row>
    <row r="51">
      <c r="A51" s="13" t="n">
        <v>38786</v>
      </c>
      <c r="B51" s="14" t="n">
        <v>1.1919</v>
      </c>
      <c r="C51" t="inlineStr">
        <is>
          <t>До</t>
        </is>
      </c>
      <c r="D51" s="15">
        <f>B51/B50-1</f>
        <v/>
      </c>
      <c r="E51" s="16">
        <f>LN(B51/B50)</f>
        <v/>
      </c>
      <c r="G51" s="15">
        <f>SQRT(Описание!$B$13*G50^2+(1-Описание!$B$13)*D50^2)</f>
        <v/>
      </c>
    </row>
    <row r="52">
      <c r="A52" s="13" t="n">
        <v>38789</v>
      </c>
      <c r="B52" s="14" t="n">
        <v>1.1922</v>
      </c>
      <c r="C52" t="inlineStr">
        <is>
          <t>До</t>
        </is>
      </c>
      <c r="D52" s="15">
        <f>B52/B51-1</f>
        <v/>
      </c>
      <c r="E52" s="16">
        <f>LN(B52/B51)</f>
        <v/>
      </c>
      <c r="G52" s="15">
        <f>SQRT(Описание!$B$13*G51^2+(1-Описание!$B$13)*D51^2)</f>
        <v/>
      </c>
    </row>
    <row r="53">
      <c r="A53" s="13" t="n">
        <v>38790</v>
      </c>
      <c r="B53" s="14" t="n">
        <v>1.1948</v>
      </c>
      <c r="C53" t="inlineStr">
        <is>
          <t>До</t>
        </is>
      </c>
      <c r="D53" s="15">
        <f>B53/B52-1</f>
        <v/>
      </c>
      <c r="E53" s="16">
        <f>LN(B53/B52)</f>
        <v/>
      </c>
      <c r="G53" s="15">
        <f>SQRT(Описание!$B$13*G52^2+(1-Описание!$B$13)*D52^2)</f>
        <v/>
      </c>
    </row>
    <row r="54">
      <c r="A54" s="13" t="n">
        <v>38791</v>
      </c>
      <c r="B54" s="14" t="n">
        <v>1.2026</v>
      </c>
      <c r="C54" t="inlineStr">
        <is>
          <t>До</t>
        </is>
      </c>
      <c r="D54" s="15">
        <f>B54/B53-1</f>
        <v/>
      </c>
      <c r="E54" s="16">
        <f>LN(B54/B53)</f>
        <v/>
      </c>
      <c r="G54" s="15">
        <f>SQRT(Описание!$B$13*G53^2+(1-Описание!$B$13)*D53^2)</f>
        <v/>
      </c>
    </row>
    <row r="55">
      <c r="A55" s="13" t="n">
        <v>38792</v>
      </c>
      <c r="B55" s="14" t="n">
        <v>1.2069</v>
      </c>
      <c r="C55" t="inlineStr">
        <is>
          <t>До</t>
        </is>
      </c>
      <c r="D55" s="15">
        <f>B55/B54-1</f>
        <v/>
      </c>
      <c r="E55" s="16">
        <f>LN(B55/B54)</f>
        <v/>
      </c>
      <c r="G55" s="15">
        <f>SQRT(Описание!$B$13*G54^2+(1-Описание!$B$13)*D54^2)</f>
        <v/>
      </c>
    </row>
    <row r="56">
      <c r="A56" s="13" t="n">
        <v>38793</v>
      </c>
      <c r="B56" s="14" t="n">
        <v>1.2185</v>
      </c>
      <c r="C56" t="inlineStr">
        <is>
          <t>До</t>
        </is>
      </c>
      <c r="D56" s="15">
        <f>B56/B55-1</f>
        <v/>
      </c>
      <c r="E56" s="16">
        <f>LN(B56/B55)</f>
        <v/>
      </c>
      <c r="G56" s="15">
        <f>SQRT(Описание!$B$13*G55^2+(1-Описание!$B$13)*D55^2)</f>
        <v/>
      </c>
    </row>
    <row r="57">
      <c r="A57" s="13" t="n">
        <v>38796</v>
      </c>
      <c r="B57" s="14" t="n">
        <v>1.2174</v>
      </c>
      <c r="C57" t="inlineStr">
        <is>
          <t>До</t>
        </is>
      </c>
      <c r="D57" s="15">
        <f>B57/B56-1</f>
        <v/>
      </c>
      <c r="E57" s="16">
        <f>LN(B57/B56)</f>
        <v/>
      </c>
      <c r="G57" s="15">
        <f>SQRT(Описание!$B$13*G56^2+(1-Описание!$B$13)*D56^2)</f>
        <v/>
      </c>
    </row>
    <row r="58">
      <c r="A58" s="13" t="n">
        <v>38797</v>
      </c>
      <c r="B58" s="14" t="n">
        <v>1.2144</v>
      </c>
      <c r="C58" t="inlineStr">
        <is>
          <t>До</t>
        </is>
      </c>
      <c r="D58" s="15">
        <f>B58/B57-1</f>
        <v/>
      </c>
      <c r="E58" s="16">
        <f>LN(B58/B57)</f>
        <v/>
      </c>
      <c r="G58" s="15">
        <f>SQRT(Описание!$B$13*G57^2+(1-Описание!$B$13)*D57^2)</f>
        <v/>
      </c>
    </row>
    <row r="59">
      <c r="A59" s="13" t="n">
        <v>38798</v>
      </c>
      <c r="B59" s="14" t="n">
        <v>1.2069</v>
      </c>
      <c r="C59" t="inlineStr">
        <is>
          <t>До</t>
        </is>
      </c>
      <c r="D59" s="15">
        <f>B59/B58-1</f>
        <v/>
      </c>
      <c r="E59" s="16">
        <f>LN(B59/B58)</f>
        <v/>
      </c>
      <c r="G59" s="15">
        <f>SQRT(Описание!$B$13*G58^2+(1-Описание!$B$13)*D58^2)</f>
        <v/>
      </c>
    </row>
    <row r="60">
      <c r="A60" s="13" t="n">
        <v>38799</v>
      </c>
      <c r="B60" s="14" t="n">
        <v>1.2055</v>
      </c>
      <c r="C60" t="inlineStr">
        <is>
          <t>До</t>
        </is>
      </c>
      <c r="D60" s="15">
        <f>B60/B59-1</f>
        <v/>
      </c>
      <c r="E60" s="16">
        <f>LN(B60/B59)</f>
        <v/>
      </c>
      <c r="G60" s="15">
        <f>SQRT(Описание!$B$13*G59^2+(1-Описание!$B$13)*D59^2)</f>
        <v/>
      </c>
    </row>
    <row r="61">
      <c r="A61" s="13" t="n">
        <v>38800</v>
      </c>
      <c r="B61" s="14" t="n">
        <v>1.1969</v>
      </c>
      <c r="C61" t="inlineStr">
        <is>
          <t>До</t>
        </is>
      </c>
      <c r="D61" s="15">
        <f>B61/B60-1</f>
        <v/>
      </c>
      <c r="E61" s="16">
        <f>LN(B61/B60)</f>
        <v/>
      </c>
      <c r="G61" s="15">
        <f>SQRT(Описание!$B$13*G60^2+(1-Описание!$B$13)*D60^2)</f>
        <v/>
      </c>
    </row>
    <row r="62">
      <c r="A62" s="13" t="n">
        <v>38803</v>
      </c>
      <c r="B62" s="14" t="n">
        <v>1.2025</v>
      </c>
      <c r="C62" t="inlineStr">
        <is>
          <t>До</t>
        </is>
      </c>
      <c r="D62" s="15">
        <f>B62/B61-1</f>
        <v/>
      </c>
      <c r="E62" s="16">
        <f>LN(B62/B61)</f>
        <v/>
      </c>
      <c r="G62" s="15">
        <f>SQRT(Описание!$B$13*G61^2+(1-Описание!$B$13)*D61^2)</f>
        <v/>
      </c>
    </row>
    <row r="63">
      <c r="A63" s="13" t="n">
        <v>38804</v>
      </c>
      <c r="B63" s="14" t="n">
        <v>1.2084</v>
      </c>
      <c r="C63" t="inlineStr">
        <is>
          <t>До</t>
        </is>
      </c>
      <c r="D63" s="15">
        <f>B63/B62-1</f>
        <v/>
      </c>
      <c r="E63" s="16">
        <f>LN(B63/B62)</f>
        <v/>
      </c>
      <c r="F63" s="15">
        <f>_xlfn.STDEV.S(OFFSET(D63,-Описание!$B$12,0,Описание!$B$12,1))</f>
        <v/>
      </c>
      <c r="G63" s="15">
        <f>SQRT(Описание!$B$13*G62^2+(1-Описание!$B$13)*D62^2)</f>
        <v/>
      </c>
      <c r="H63" s="17">
        <f>Описание!$B$9*F63*Описание!$B$7</f>
        <v/>
      </c>
      <c r="I63" s="17">
        <f>Описание!$B$9*G63*Описание!$B$7</f>
        <v/>
      </c>
    </row>
    <row r="64">
      <c r="A64" s="13" t="n">
        <v>38805</v>
      </c>
      <c r="B64" s="14" t="n">
        <v>1.2012</v>
      </c>
      <c r="C64" t="inlineStr">
        <is>
          <t>До</t>
        </is>
      </c>
      <c r="D64" s="15">
        <f>B64/B63-1</f>
        <v/>
      </c>
      <c r="E64" s="16">
        <f>LN(B64/B63)</f>
        <v/>
      </c>
      <c r="F64" s="15">
        <f>_xlfn.STDEV.S(OFFSET(D64,-Описание!$B$12,0,Описание!$B$12,1))</f>
        <v/>
      </c>
      <c r="G64" s="15">
        <f>SQRT(Описание!$B$13*G63^2+(1-Описание!$B$13)*D63^2)</f>
        <v/>
      </c>
      <c r="H64" s="17">
        <f>Описание!$B$9*F64*Описание!$B$7</f>
        <v/>
      </c>
      <c r="I64" s="17">
        <f>Описание!$B$9*G64*Описание!$B$7</f>
        <v/>
      </c>
    </row>
    <row r="65">
      <c r="A65" s="13" t="n">
        <v>38806</v>
      </c>
      <c r="B65" s="14" t="n">
        <v>1.2096</v>
      </c>
      <c r="C65" t="inlineStr">
        <is>
          <t>До</t>
        </is>
      </c>
      <c r="D65" s="15">
        <f>B65/B64-1</f>
        <v/>
      </c>
      <c r="E65" s="16">
        <f>LN(B65/B64)</f>
        <v/>
      </c>
      <c r="F65" s="15">
        <f>_xlfn.STDEV.S(OFFSET(D65,-Описание!$B$12,0,Описание!$B$12,1))</f>
        <v/>
      </c>
      <c r="G65" s="15">
        <f>SQRT(Описание!$B$13*G64^2+(1-Описание!$B$13)*D64^2)</f>
        <v/>
      </c>
      <c r="H65" s="17">
        <f>Описание!$B$9*F65*Описание!$B$7</f>
        <v/>
      </c>
      <c r="I65" s="17">
        <f>Описание!$B$9*G65*Описание!$B$7</f>
        <v/>
      </c>
    </row>
    <row r="66">
      <c r="A66" s="13" t="n">
        <v>38807</v>
      </c>
      <c r="B66" s="14" t="n">
        <v>1.2104</v>
      </c>
      <c r="C66" t="inlineStr">
        <is>
          <t>До</t>
        </is>
      </c>
      <c r="D66" s="15">
        <f>B66/B65-1</f>
        <v/>
      </c>
      <c r="E66" s="16">
        <f>LN(B66/B65)</f>
        <v/>
      </c>
      <c r="F66" s="15">
        <f>_xlfn.STDEV.S(OFFSET(D66,-Описание!$B$12,0,Описание!$B$12,1))</f>
        <v/>
      </c>
      <c r="G66" s="15">
        <f>SQRT(Описание!$B$13*G65^2+(1-Описание!$B$13)*D65^2)</f>
        <v/>
      </c>
      <c r="H66" s="17">
        <f>Описание!$B$9*F66*Описание!$B$7</f>
        <v/>
      </c>
      <c r="I66" s="17">
        <f>Описание!$B$9*G66*Описание!$B$7</f>
        <v/>
      </c>
    </row>
    <row r="67">
      <c r="A67" s="13" t="n">
        <v>38810</v>
      </c>
      <c r="B67" s="14" t="n">
        <v>1.2063</v>
      </c>
      <c r="C67" t="inlineStr">
        <is>
          <t>До</t>
        </is>
      </c>
      <c r="D67" s="15">
        <f>B67/B66-1</f>
        <v/>
      </c>
      <c r="E67" s="16">
        <f>LN(B67/B66)</f>
        <v/>
      </c>
      <c r="F67" s="15">
        <f>_xlfn.STDEV.S(OFFSET(D67,-Описание!$B$12,0,Описание!$B$12,1))</f>
        <v/>
      </c>
      <c r="G67" s="15">
        <f>SQRT(Описание!$B$13*G66^2+(1-Описание!$B$13)*D66^2)</f>
        <v/>
      </c>
      <c r="H67" s="17">
        <f>Описание!$B$9*F67*Описание!$B$7</f>
        <v/>
      </c>
      <c r="I67" s="17">
        <f>Описание!$B$9*G67*Описание!$B$7</f>
        <v/>
      </c>
    </row>
    <row r="68">
      <c r="A68" s="13" t="n">
        <v>38811</v>
      </c>
      <c r="B68" s="14" t="n">
        <v>1.2217</v>
      </c>
      <c r="C68" t="inlineStr">
        <is>
          <t>До</t>
        </is>
      </c>
      <c r="D68" s="15">
        <f>B68/B67-1</f>
        <v/>
      </c>
      <c r="E68" s="16">
        <f>LN(B68/B67)</f>
        <v/>
      </c>
      <c r="F68" s="15">
        <f>_xlfn.STDEV.S(OFFSET(D68,-Описание!$B$12,0,Описание!$B$12,1))</f>
        <v/>
      </c>
      <c r="G68" s="15">
        <f>SQRT(Описание!$B$13*G67^2+(1-Описание!$B$13)*D67^2)</f>
        <v/>
      </c>
      <c r="H68" s="17">
        <f>Описание!$B$9*F68*Описание!$B$7</f>
        <v/>
      </c>
      <c r="I68" s="17">
        <f>Описание!$B$9*G68*Описание!$B$7</f>
        <v/>
      </c>
    </row>
    <row r="69">
      <c r="A69" s="13" t="n">
        <v>38812</v>
      </c>
      <c r="B69" s="14" t="n">
        <v>1.2262</v>
      </c>
      <c r="C69" t="inlineStr">
        <is>
          <t>До</t>
        </is>
      </c>
      <c r="D69" s="15">
        <f>B69/B68-1</f>
        <v/>
      </c>
      <c r="E69" s="16">
        <f>LN(B69/B68)</f>
        <v/>
      </c>
      <c r="F69" s="15">
        <f>_xlfn.STDEV.S(OFFSET(D69,-Описание!$B$12,0,Описание!$B$12,1))</f>
        <v/>
      </c>
      <c r="G69" s="15">
        <f>SQRT(Описание!$B$13*G68^2+(1-Описание!$B$13)*D68^2)</f>
        <v/>
      </c>
      <c r="H69" s="17">
        <f>Описание!$B$9*F69*Описание!$B$7</f>
        <v/>
      </c>
      <c r="I69" s="17">
        <f>Описание!$B$9*G69*Описание!$B$7</f>
        <v/>
      </c>
    </row>
    <row r="70">
      <c r="A70" s="13" t="n">
        <v>38813</v>
      </c>
      <c r="B70" s="14" t="n">
        <v>1.2312</v>
      </c>
      <c r="C70" t="inlineStr">
        <is>
          <t>До</t>
        </is>
      </c>
      <c r="D70" s="15">
        <f>B70/B69-1</f>
        <v/>
      </c>
      <c r="E70" s="16">
        <f>LN(B70/B69)</f>
        <v/>
      </c>
      <c r="F70" s="15">
        <f>_xlfn.STDEV.S(OFFSET(D70,-Описание!$B$12,0,Описание!$B$12,1))</f>
        <v/>
      </c>
      <c r="G70" s="15">
        <f>SQRT(Описание!$B$13*G69^2+(1-Описание!$B$13)*D69^2)</f>
        <v/>
      </c>
      <c r="H70" s="17">
        <f>Описание!$B$9*F70*Описание!$B$7</f>
        <v/>
      </c>
      <c r="I70" s="17">
        <f>Описание!$B$9*G70*Описание!$B$7</f>
        <v/>
      </c>
    </row>
    <row r="71">
      <c r="A71" s="13" t="n">
        <v>38814</v>
      </c>
      <c r="B71" s="14" t="n">
        <v>1.2179</v>
      </c>
      <c r="C71" t="inlineStr">
        <is>
          <t>До</t>
        </is>
      </c>
      <c r="D71" s="15">
        <f>B71/B70-1</f>
        <v/>
      </c>
      <c r="E71" s="16">
        <f>LN(B71/B70)</f>
        <v/>
      </c>
      <c r="F71" s="15">
        <f>_xlfn.STDEV.S(OFFSET(D71,-Описание!$B$12,0,Описание!$B$12,1))</f>
        <v/>
      </c>
      <c r="G71" s="15">
        <f>SQRT(Описание!$B$13*G70^2+(1-Описание!$B$13)*D70^2)</f>
        <v/>
      </c>
      <c r="H71" s="17">
        <f>Описание!$B$9*F71*Описание!$B$7</f>
        <v/>
      </c>
      <c r="I71" s="17">
        <f>Описание!$B$9*G71*Описание!$B$7</f>
        <v/>
      </c>
    </row>
    <row r="72">
      <c r="A72" s="13" t="n">
        <v>38817</v>
      </c>
      <c r="B72" s="14" t="n">
        <v>1.2099</v>
      </c>
      <c r="C72" t="inlineStr">
        <is>
          <t>До</t>
        </is>
      </c>
      <c r="D72" s="15">
        <f>B72/B71-1</f>
        <v/>
      </c>
      <c r="E72" s="16">
        <f>LN(B72/B71)</f>
        <v/>
      </c>
      <c r="F72" s="15">
        <f>_xlfn.STDEV.S(OFFSET(D72,-Описание!$B$12,0,Описание!$B$12,1))</f>
        <v/>
      </c>
      <c r="G72" s="15">
        <f>SQRT(Описание!$B$13*G71^2+(1-Описание!$B$13)*D71^2)</f>
        <v/>
      </c>
      <c r="H72" s="17">
        <f>Описание!$B$9*F72*Описание!$B$7</f>
        <v/>
      </c>
      <c r="I72" s="17">
        <f>Описание!$B$9*G72*Описание!$B$7</f>
        <v/>
      </c>
    </row>
    <row r="73">
      <c r="A73" s="13" t="n">
        <v>38818</v>
      </c>
      <c r="B73" s="14" t="n">
        <v>1.2105</v>
      </c>
      <c r="C73" t="inlineStr">
        <is>
          <t>До</t>
        </is>
      </c>
      <c r="D73" s="15">
        <f>B73/B72-1</f>
        <v/>
      </c>
      <c r="E73" s="16">
        <f>LN(B73/B72)</f>
        <v/>
      </c>
      <c r="F73" s="15">
        <f>_xlfn.STDEV.S(OFFSET(D73,-Описание!$B$12,0,Описание!$B$12,1))</f>
        <v/>
      </c>
      <c r="G73" s="15">
        <f>SQRT(Описание!$B$13*G72^2+(1-Описание!$B$13)*D72^2)</f>
        <v/>
      </c>
      <c r="H73" s="17">
        <f>Описание!$B$9*F73*Описание!$B$7</f>
        <v/>
      </c>
      <c r="I73" s="17">
        <f>Описание!$B$9*G73*Описание!$B$7</f>
        <v/>
      </c>
    </row>
    <row r="74">
      <c r="A74" s="13" t="n">
        <v>38819</v>
      </c>
      <c r="B74" s="14" t="n">
        <v>1.2125</v>
      </c>
      <c r="C74" t="inlineStr">
        <is>
          <t>До</t>
        </is>
      </c>
      <c r="D74" s="15">
        <f>B74/B73-1</f>
        <v/>
      </c>
      <c r="E74" s="16">
        <f>LN(B74/B73)</f>
        <v/>
      </c>
      <c r="F74" s="15">
        <f>_xlfn.STDEV.S(OFFSET(D74,-Описание!$B$12,0,Описание!$B$12,1))</f>
        <v/>
      </c>
      <c r="G74" s="15">
        <f>SQRT(Описание!$B$13*G73^2+(1-Описание!$B$13)*D73^2)</f>
        <v/>
      </c>
      <c r="H74" s="17">
        <f>Описание!$B$9*F74*Описание!$B$7</f>
        <v/>
      </c>
      <c r="I74" s="17">
        <f>Описание!$B$9*G74*Описание!$B$7</f>
        <v/>
      </c>
    </row>
    <row r="75">
      <c r="A75" s="13" t="n">
        <v>38820</v>
      </c>
      <c r="B75" s="14" t="n">
        <v>1.2094</v>
      </c>
      <c r="C75" t="inlineStr">
        <is>
          <t>До</t>
        </is>
      </c>
      <c r="D75" s="15">
        <f>B75/B74-1</f>
        <v/>
      </c>
      <c r="E75" s="16">
        <f>LN(B75/B74)</f>
        <v/>
      </c>
      <c r="F75" s="15">
        <f>_xlfn.STDEV.S(OFFSET(D75,-Описание!$B$12,0,Описание!$B$12,1))</f>
        <v/>
      </c>
      <c r="G75" s="15">
        <f>SQRT(Описание!$B$13*G74^2+(1-Описание!$B$13)*D74^2)</f>
        <v/>
      </c>
      <c r="H75" s="17">
        <f>Описание!$B$9*F75*Описание!$B$7</f>
        <v/>
      </c>
      <c r="I75" s="17">
        <f>Описание!$B$9*G75*Описание!$B$7</f>
        <v/>
      </c>
    </row>
    <row r="76">
      <c r="A76" s="13" t="n">
        <v>38825</v>
      </c>
      <c r="B76" s="14" t="n">
        <v>1.2252</v>
      </c>
      <c r="C76" t="inlineStr">
        <is>
          <t>До</t>
        </is>
      </c>
      <c r="D76" s="15">
        <f>B76/B75-1</f>
        <v/>
      </c>
      <c r="E76" s="16">
        <f>LN(B76/B75)</f>
        <v/>
      </c>
      <c r="F76" s="15">
        <f>_xlfn.STDEV.S(OFFSET(D76,-Описание!$B$12,0,Описание!$B$12,1))</f>
        <v/>
      </c>
      <c r="G76" s="15">
        <f>SQRT(Описание!$B$13*G75^2+(1-Описание!$B$13)*D75^2)</f>
        <v/>
      </c>
      <c r="H76" s="17">
        <f>Описание!$B$9*F76*Описание!$B$7</f>
        <v/>
      </c>
      <c r="I76" s="17">
        <f>Описание!$B$9*G76*Описание!$B$7</f>
        <v/>
      </c>
    </row>
    <row r="77">
      <c r="A77" s="13" t="n">
        <v>38826</v>
      </c>
      <c r="B77" s="14" t="n">
        <v>1.2346</v>
      </c>
      <c r="C77" t="inlineStr">
        <is>
          <t>До</t>
        </is>
      </c>
      <c r="D77" s="15">
        <f>B77/B76-1</f>
        <v/>
      </c>
      <c r="E77" s="16">
        <f>LN(B77/B76)</f>
        <v/>
      </c>
      <c r="F77" s="15">
        <f>_xlfn.STDEV.S(OFFSET(D77,-Описание!$B$12,0,Описание!$B$12,1))</f>
        <v/>
      </c>
      <c r="G77" s="15">
        <f>SQRT(Описание!$B$13*G76^2+(1-Описание!$B$13)*D76^2)</f>
        <v/>
      </c>
      <c r="H77" s="17">
        <f>Описание!$B$9*F77*Описание!$B$7</f>
        <v/>
      </c>
      <c r="I77" s="17">
        <f>Описание!$B$9*G77*Описание!$B$7</f>
        <v/>
      </c>
    </row>
    <row r="78">
      <c r="A78" s="13" t="n">
        <v>38827</v>
      </c>
      <c r="B78" s="14" t="n">
        <v>1.2346</v>
      </c>
      <c r="C78" t="inlineStr">
        <is>
          <t>До</t>
        </is>
      </c>
      <c r="D78" s="15">
        <f>B78/B77-1</f>
        <v/>
      </c>
      <c r="E78" s="16">
        <f>LN(B78/B77)</f>
        <v/>
      </c>
      <c r="F78" s="15">
        <f>_xlfn.STDEV.S(OFFSET(D78,-Описание!$B$12,0,Описание!$B$12,1))</f>
        <v/>
      </c>
      <c r="G78" s="15">
        <f>SQRT(Описание!$B$13*G77^2+(1-Описание!$B$13)*D77^2)</f>
        <v/>
      </c>
      <c r="H78" s="17">
        <f>Описание!$B$9*F78*Описание!$B$7</f>
        <v/>
      </c>
      <c r="I78" s="17">
        <f>Описание!$B$9*G78*Описание!$B$7</f>
        <v/>
      </c>
    </row>
    <row r="79">
      <c r="A79" s="13" t="n">
        <v>38828</v>
      </c>
      <c r="B79" s="14" t="n">
        <v>1.2315</v>
      </c>
      <c r="C79" t="inlineStr">
        <is>
          <t>До</t>
        </is>
      </c>
      <c r="D79" s="15">
        <f>B79/B78-1</f>
        <v/>
      </c>
      <c r="E79" s="16">
        <f>LN(B79/B78)</f>
        <v/>
      </c>
      <c r="F79" s="15">
        <f>_xlfn.STDEV.S(OFFSET(D79,-Описание!$B$12,0,Описание!$B$12,1))</f>
        <v/>
      </c>
      <c r="G79" s="15">
        <f>SQRT(Описание!$B$13*G78^2+(1-Описание!$B$13)*D78^2)</f>
        <v/>
      </c>
      <c r="H79" s="17">
        <f>Описание!$B$9*F79*Описание!$B$7</f>
        <v/>
      </c>
      <c r="I79" s="17">
        <f>Описание!$B$9*G79*Описание!$B$7</f>
        <v/>
      </c>
    </row>
    <row r="80">
      <c r="A80" s="13" t="n">
        <v>38831</v>
      </c>
      <c r="B80" s="14" t="n">
        <v>1.2365</v>
      </c>
      <c r="C80" t="inlineStr">
        <is>
          <t>До</t>
        </is>
      </c>
      <c r="D80" s="15">
        <f>B80/B79-1</f>
        <v/>
      </c>
      <c r="E80" s="16">
        <f>LN(B80/B79)</f>
        <v/>
      </c>
      <c r="F80" s="15">
        <f>_xlfn.STDEV.S(OFFSET(D80,-Описание!$B$12,0,Описание!$B$12,1))</f>
        <v/>
      </c>
      <c r="G80" s="15">
        <f>SQRT(Описание!$B$13*G79^2+(1-Описание!$B$13)*D79^2)</f>
        <v/>
      </c>
      <c r="H80" s="17">
        <f>Описание!$B$9*F80*Описание!$B$7</f>
        <v/>
      </c>
      <c r="I80" s="17">
        <f>Описание!$B$9*G80*Описание!$B$7</f>
        <v/>
      </c>
    </row>
    <row r="81">
      <c r="A81" s="13" t="n">
        <v>38832</v>
      </c>
      <c r="B81" s="14" t="n">
        <v>1.2425</v>
      </c>
      <c r="C81" t="inlineStr">
        <is>
          <t>До</t>
        </is>
      </c>
      <c r="D81" s="15">
        <f>B81/B80-1</f>
        <v/>
      </c>
      <c r="E81" s="16">
        <f>LN(B81/B80)</f>
        <v/>
      </c>
      <c r="F81" s="15">
        <f>_xlfn.STDEV.S(OFFSET(D81,-Описание!$B$12,0,Описание!$B$12,1))</f>
        <v/>
      </c>
      <c r="G81" s="15">
        <f>SQRT(Описание!$B$13*G80^2+(1-Описание!$B$13)*D80^2)</f>
        <v/>
      </c>
      <c r="H81" s="17">
        <f>Описание!$B$9*F81*Описание!$B$7</f>
        <v/>
      </c>
      <c r="I81" s="17">
        <f>Описание!$B$9*G81*Описание!$B$7</f>
        <v/>
      </c>
    </row>
    <row r="82">
      <c r="A82" s="13" t="n">
        <v>38833</v>
      </c>
      <c r="B82" s="14" t="n">
        <v>1.2425</v>
      </c>
      <c r="C82" t="inlineStr">
        <is>
          <t>До</t>
        </is>
      </c>
      <c r="D82" s="15">
        <f>B82/B81-1</f>
        <v/>
      </c>
      <c r="E82" s="16">
        <f>LN(B82/B81)</f>
        <v/>
      </c>
      <c r="F82" s="15">
        <f>_xlfn.STDEV.S(OFFSET(D82,-Описание!$B$12,0,Описание!$B$12,1))</f>
        <v/>
      </c>
      <c r="G82" s="15">
        <f>SQRT(Описание!$B$13*G81^2+(1-Описание!$B$13)*D81^2)</f>
        <v/>
      </c>
      <c r="H82" s="17">
        <f>Описание!$B$9*F82*Описание!$B$7</f>
        <v/>
      </c>
      <c r="I82" s="17">
        <f>Описание!$B$9*G82*Описание!$B$7</f>
        <v/>
      </c>
    </row>
    <row r="83">
      <c r="A83" s="13" t="n">
        <v>38834</v>
      </c>
      <c r="B83" s="14" t="n">
        <v>1.2414</v>
      </c>
      <c r="C83" t="inlineStr">
        <is>
          <t>До</t>
        </is>
      </c>
      <c r="D83" s="15">
        <f>B83/B82-1</f>
        <v/>
      </c>
      <c r="E83" s="16">
        <f>LN(B83/B82)</f>
        <v/>
      </c>
      <c r="F83" s="15">
        <f>_xlfn.STDEV.S(OFFSET(D83,-Описание!$B$12,0,Описание!$B$12,1))</f>
        <v/>
      </c>
      <c r="G83" s="15">
        <f>SQRT(Описание!$B$13*G82^2+(1-Описание!$B$13)*D82^2)</f>
        <v/>
      </c>
      <c r="H83" s="17">
        <f>Описание!$B$9*F83*Описание!$B$7</f>
        <v/>
      </c>
      <c r="I83" s="17">
        <f>Описание!$B$9*G83*Описание!$B$7</f>
        <v/>
      </c>
    </row>
    <row r="84">
      <c r="A84" s="13" t="n">
        <v>38835</v>
      </c>
      <c r="B84" s="14" t="n">
        <v>1.2537</v>
      </c>
      <c r="C84" t="inlineStr">
        <is>
          <t>До</t>
        </is>
      </c>
      <c r="D84" s="15">
        <f>B84/B83-1</f>
        <v/>
      </c>
      <c r="E84" s="16">
        <f>LN(B84/B83)</f>
        <v/>
      </c>
      <c r="F84" s="15">
        <f>_xlfn.STDEV.S(OFFSET(D84,-Описание!$B$12,0,Описание!$B$12,1))</f>
        <v/>
      </c>
      <c r="G84" s="15">
        <f>SQRT(Описание!$B$13*G83^2+(1-Описание!$B$13)*D83^2)</f>
        <v/>
      </c>
      <c r="H84" s="17">
        <f>Описание!$B$9*F84*Описание!$B$7</f>
        <v/>
      </c>
      <c r="I84" s="17">
        <f>Описание!$B$9*G84*Описание!$B$7</f>
        <v/>
      </c>
    </row>
    <row r="85">
      <c r="A85" s="13" t="n">
        <v>38839</v>
      </c>
      <c r="B85" s="14" t="n">
        <v>1.2643</v>
      </c>
      <c r="C85" t="inlineStr">
        <is>
          <t>До</t>
        </is>
      </c>
      <c r="D85" s="15">
        <f>B85/B84-1</f>
        <v/>
      </c>
      <c r="E85" s="16">
        <f>LN(B85/B84)</f>
        <v/>
      </c>
      <c r="F85" s="15">
        <f>_xlfn.STDEV.S(OFFSET(D85,-Описание!$B$12,0,Описание!$B$12,1))</f>
        <v/>
      </c>
      <c r="G85" s="15">
        <f>SQRT(Описание!$B$13*G84^2+(1-Описание!$B$13)*D84^2)</f>
        <v/>
      </c>
      <c r="H85" s="17">
        <f>Описание!$B$9*F85*Описание!$B$7</f>
        <v/>
      </c>
      <c r="I85" s="17">
        <f>Описание!$B$9*G85*Описание!$B$7</f>
        <v/>
      </c>
    </row>
    <row r="86">
      <c r="A86" s="13" t="n">
        <v>38840</v>
      </c>
      <c r="B86" s="14" t="n">
        <v>1.2622</v>
      </c>
      <c r="C86" t="inlineStr">
        <is>
          <t>До</t>
        </is>
      </c>
      <c r="D86" s="15">
        <f>B86/B85-1</f>
        <v/>
      </c>
      <c r="E86" s="16">
        <f>LN(B86/B85)</f>
        <v/>
      </c>
      <c r="F86" s="15">
        <f>_xlfn.STDEV.S(OFFSET(D86,-Описание!$B$12,0,Описание!$B$12,1))</f>
        <v/>
      </c>
      <c r="G86" s="15">
        <f>SQRT(Описание!$B$13*G85^2+(1-Описание!$B$13)*D85^2)</f>
        <v/>
      </c>
      <c r="H86" s="17">
        <f>Описание!$B$9*F86*Описание!$B$7</f>
        <v/>
      </c>
      <c r="I86" s="17">
        <f>Описание!$B$9*G86*Описание!$B$7</f>
        <v/>
      </c>
    </row>
    <row r="87">
      <c r="A87" s="13" t="n">
        <v>38841</v>
      </c>
      <c r="B87" s="14" t="n">
        <v>1.2592</v>
      </c>
      <c r="C87" t="inlineStr">
        <is>
          <t>До</t>
        </is>
      </c>
      <c r="D87" s="15">
        <f>B87/B86-1</f>
        <v/>
      </c>
      <c r="E87" s="16">
        <f>LN(B87/B86)</f>
        <v/>
      </c>
      <c r="F87" s="15">
        <f>_xlfn.STDEV.S(OFFSET(D87,-Описание!$B$12,0,Описание!$B$12,1))</f>
        <v/>
      </c>
      <c r="G87" s="15">
        <f>SQRT(Описание!$B$13*G86^2+(1-Описание!$B$13)*D86^2)</f>
        <v/>
      </c>
      <c r="H87" s="17">
        <f>Описание!$B$9*F87*Описание!$B$7</f>
        <v/>
      </c>
      <c r="I87" s="17">
        <f>Описание!$B$9*G87*Описание!$B$7</f>
        <v/>
      </c>
    </row>
    <row r="88">
      <c r="A88" s="13" t="n">
        <v>38842</v>
      </c>
      <c r="B88" s="14" t="n">
        <v>1.2688</v>
      </c>
      <c r="C88" t="inlineStr">
        <is>
          <t>До</t>
        </is>
      </c>
      <c r="D88" s="15">
        <f>B88/B87-1</f>
        <v/>
      </c>
      <c r="E88" s="16">
        <f>LN(B88/B87)</f>
        <v/>
      </c>
      <c r="F88" s="15">
        <f>_xlfn.STDEV.S(OFFSET(D88,-Описание!$B$12,0,Описание!$B$12,1))</f>
        <v/>
      </c>
      <c r="G88" s="15">
        <f>SQRT(Описание!$B$13*G87^2+(1-Описание!$B$13)*D87^2)</f>
        <v/>
      </c>
      <c r="H88" s="17">
        <f>Описание!$B$9*F88*Описание!$B$7</f>
        <v/>
      </c>
      <c r="I88" s="17">
        <f>Описание!$B$9*G88*Описание!$B$7</f>
        <v/>
      </c>
    </row>
    <row r="89">
      <c r="A89" s="13" t="n">
        <v>38845</v>
      </c>
      <c r="B89" s="14" t="n">
        <v>1.2756</v>
      </c>
      <c r="C89" t="inlineStr">
        <is>
          <t>До</t>
        </is>
      </c>
      <c r="D89" s="15">
        <f>B89/B88-1</f>
        <v/>
      </c>
      <c r="E89" s="16">
        <f>LN(B89/B88)</f>
        <v/>
      </c>
      <c r="F89" s="15">
        <f>_xlfn.STDEV.S(OFFSET(D89,-Описание!$B$12,0,Описание!$B$12,1))</f>
        <v/>
      </c>
      <c r="G89" s="15">
        <f>SQRT(Описание!$B$13*G88^2+(1-Описание!$B$13)*D88^2)</f>
        <v/>
      </c>
      <c r="H89" s="17">
        <f>Описание!$B$9*F89*Описание!$B$7</f>
        <v/>
      </c>
      <c r="I89" s="17">
        <f>Описание!$B$9*G89*Описание!$B$7</f>
        <v/>
      </c>
    </row>
    <row r="90">
      <c r="A90" s="13" t="n">
        <v>38846</v>
      </c>
      <c r="B90" s="14" t="n">
        <v>1.2697</v>
      </c>
      <c r="C90" t="inlineStr">
        <is>
          <t>До</t>
        </is>
      </c>
      <c r="D90" s="15">
        <f>B90/B89-1</f>
        <v/>
      </c>
      <c r="E90" s="16">
        <f>LN(B90/B89)</f>
        <v/>
      </c>
      <c r="F90" s="15">
        <f>_xlfn.STDEV.S(OFFSET(D90,-Описание!$B$12,0,Описание!$B$12,1))</f>
        <v/>
      </c>
      <c r="G90" s="15">
        <f>SQRT(Описание!$B$13*G89^2+(1-Описание!$B$13)*D89^2)</f>
        <v/>
      </c>
      <c r="H90" s="17">
        <f>Описание!$B$9*F90*Описание!$B$7</f>
        <v/>
      </c>
      <c r="I90" s="17">
        <f>Описание!$B$9*G90*Описание!$B$7</f>
        <v/>
      </c>
    </row>
    <row r="91">
      <c r="A91" s="13" t="n">
        <v>38847</v>
      </c>
      <c r="B91" s="14" t="n">
        <v>1.2779</v>
      </c>
      <c r="C91" t="inlineStr">
        <is>
          <t>До</t>
        </is>
      </c>
      <c r="D91" s="15">
        <f>B91/B90-1</f>
        <v/>
      </c>
      <c r="E91" s="16">
        <f>LN(B91/B90)</f>
        <v/>
      </c>
      <c r="F91" s="15">
        <f>_xlfn.STDEV.S(OFFSET(D91,-Описание!$B$12,0,Описание!$B$12,1))</f>
        <v/>
      </c>
      <c r="G91" s="15">
        <f>SQRT(Описание!$B$13*G90^2+(1-Описание!$B$13)*D90^2)</f>
        <v/>
      </c>
      <c r="H91" s="17">
        <f>Описание!$B$9*F91*Описание!$B$7</f>
        <v/>
      </c>
      <c r="I91" s="17">
        <f>Описание!$B$9*G91*Описание!$B$7</f>
        <v/>
      </c>
    </row>
    <row r="92">
      <c r="A92" s="13" t="n">
        <v>38848</v>
      </c>
      <c r="B92" s="14" t="n">
        <v>1.2716</v>
      </c>
      <c r="C92" t="inlineStr">
        <is>
          <t>До</t>
        </is>
      </c>
      <c r="D92" s="15">
        <f>B92/B91-1</f>
        <v/>
      </c>
      <c r="E92" s="16">
        <f>LN(B92/B91)</f>
        <v/>
      </c>
      <c r="F92" s="15">
        <f>_xlfn.STDEV.S(OFFSET(D92,-Описание!$B$12,0,Описание!$B$12,1))</f>
        <v/>
      </c>
      <c r="G92" s="15">
        <f>SQRT(Описание!$B$13*G91^2+(1-Описание!$B$13)*D91^2)</f>
        <v/>
      </c>
      <c r="H92" s="17">
        <f>Описание!$B$9*F92*Описание!$B$7</f>
        <v/>
      </c>
      <c r="I92" s="17">
        <f>Описание!$B$9*G92*Описание!$B$7</f>
        <v/>
      </c>
    </row>
    <row r="93">
      <c r="A93" s="13" t="n">
        <v>38849</v>
      </c>
      <c r="B93" s="14" t="n">
        <v>1.2914</v>
      </c>
      <c r="C93" t="inlineStr">
        <is>
          <t>До</t>
        </is>
      </c>
      <c r="D93" s="15">
        <f>B93/B92-1</f>
        <v/>
      </c>
      <c r="E93" s="16">
        <f>LN(B93/B92)</f>
        <v/>
      </c>
      <c r="F93" s="15">
        <f>_xlfn.STDEV.S(OFFSET(D93,-Описание!$B$12,0,Описание!$B$12,1))</f>
        <v/>
      </c>
      <c r="G93" s="15">
        <f>SQRT(Описание!$B$13*G92^2+(1-Описание!$B$13)*D92^2)</f>
        <v/>
      </c>
      <c r="H93" s="17">
        <f>Описание!$B$9*F93*Описание!$B$7</f>
        <v/>
      </c>
      <c r="I93" s="17">
        <f>Описание!$B$9*G93*Описание!$B$7</f>
        <v/>
      </c>
    </row>
    <row r="94">
      <c r="A94" s="13" t="n">
        <v>38852</v>
      </c>
      <c r="B94" s="14" t="n">
        <v>1.2826</v>
      </c>
      <c r="C94" t="inlineStr">
        <is>
          <t>До</t>
        </is>
      </c>
      <c r="D94" s="15">
        <f>B94/B93-1</f>
        <v/>
      </c>
      <c r="E94" s="16">
        <f>LN(B94/B93)</f>
        <v/>
      </c>
      <c r="F94" s="15">
        <f>_xlfn.STDEV.S(OFFSET(D94,-Описание!$B$12,0,Описание!$B$12,1))</f>
        <v/>
      </c>
      <c r="G94" s="15">
        <f>SQRT(Описание!$B$13*G93^2+(1-Описание!$B$13)*D93^2)</f>
        <v/>
      </c>
      <c r="H94" s="17">
        <f>Описание!$B$9*F94*Описание!$B$7</f>
        <v/>
      </c>
      <c r="I94" s="17">
        <f>Описание!$B$9*G94*Описание!$B$7</f>
        <v/>
      </c>
    </row>
    <row r="95">
      <c r="A95" s="13" t="n">
        <v>38853</v>
      </c>
      <c r="B95" s="14" t="n">
        <v>1.2817</v>
      </c>
      <c r="C95" t="inlineStr">
        <is>
          <t>До</t>
        </is>
      </c>
      <c r="D95" s="15">
        <f>B95/B94-1</f>
        <v/>
      </c>
      <c r="E95" s="16">
        <f>LN(B95/B94)</f>
        <v/>
      </c>
      <c r="F95" s="15">
        <f>_xlfn.STDEV.S(OFFSET(D95,-Описание!$B$12,0,Описание!$B$12,1))</f>
        <v/>
      </c>
      <c r="G95" s="15">
        <f>SQRT(Описание!$B$13*G94^2+(1-Описание!$B$13)*D94^2)</f>
        <v/>
      </c>
      <c r="H95" s="17">
        <f>Описание!$B$9*F95*Описание!$B$7</f>
        <v/>
      </c>
      <c r="I95" s="17">
        <f>Описание!$B$9*G95*Описание!$B$7</f>
        <v/>
      </c>
    </row>
    <row r="96">
      <c r="A96" s="13" t="n">
        <v>38854</v>
      </c>
      <c r="B96" s="14" t="n">
        <v>1.2882</v>
      </c>
      <c r="C96" t="inlineStr">
        <is>
          <t>До</t>
        </is>
      </c>
      <c r="D96" s="15">
        <f>B96/B95-1</f>
        <v/>
      </c>
      <c r="E96" s="16">
        <f>LN(B96/B95)</f>
        <v/>
      </c>
      <c r="F96" s="15">
        <f>_xlfn.STDEV.S(OFFSET(D96,-Описание!$B$12,0,Описание!$B$12,1))</f>
        <v/>
      </c>
      <c r="G96" s="15">
        <f>SQRT(Описание!$B$13*G95^2+(1-Описание!$B$13)*D95^2)</f>
        <v/>
      </c>
      <c r="H96" s="17">
        <f>Описание!$B$9*F96*Описание!$B$7</f>
        <v/>
      </c>
      <c r="I96" s="17">
        <f>Описание!$B$9*G96*Описание!$B$7</f>
        <v/>
      </c>
    </row>
    <row r="97">
      <c r="A97" s="13" t="n">
        <v>38855</v>
      </c>
      <c r="B97" s="14" t="n">
        <v>1.277</v>
      </c>
      <c r="C97" t="inlineStr">
        <is>
          <t>До</t>
        </is>
      </c>
      <c r="D97" s="15">
        <f>B97/B96-1</f>
        <v/>
      </c>
      <c r="E97" s="16">
        <f>LN(B97/B96)</f>
        <v/>
      </c>
      <c r="F97" s="15">
        <f>_xlfn.STDEV.S(OFFSET(D97,-Описание!$B$12,0,Описание!$B$12,1))</f>
        <v/>
      </c>
      <c r="G97" s="15">
        <f>SQRT(Описание!$B$13*G96^2+(1-Описание!$B$13)*D96^2)</f>
        <v/>
      </c>
      <c r="H97" s="17">
        <f>Описание!$B$9*F97*Описание!$B$7</f>
        <v/>
      </c>
      <c r="I97" s="17">
        <f>Описание!$B$9*G97*Описание!$B$7</f>
        <v/>
      </c>
    </row>
    <row r="98">
      <c r="A98" s="13" t="n">
        <v>38856</v>
      </c>
      <c r="B98" s="14" t="n">
        <v>1.2767</v>
      </c>
      <c r="C98" t="inlineStr">
        <is>
          <t>До</t>
        </is>
      </c>
      <c r="D98" s="15">
        <f>B98/B97-1</f>
        <v/>
      </c>
      <c r="E98" s="16">
        <f>LN(B98/B97)</f>
        <v/>
      </c>
      <c r="F98" s="15">
        <f>_xlfn.STDEV.S(OFFSET(D98,-Описание!$B$12,0,Описание!$B$12,1))</f>
        <v/>
      </c>
      <c r="G98" s="15">
        <f>SQRT(Описание!$B$13*G97^2+(1-Описание!$B$13)*D97^2)</f>
        <v/>
      </c>
      <c r="H98" s="17">
        <f>Описание!$B$9*F98*Описание!$B$7</f>
        <v/>
      </c>
      <c r="I98" s="17">
        <f>Описание!$B$9*G98*Описание!$B$7</f>
        <v/>
      </c>
    </row>
    <row r="99">
      <c r="A99" s="13" t="n">
        <v>38859</v>
      </c>
      <c r="B99" s="14" t="n">
        <v>1.2753</v>
      </c>
      <c r="C99" t="inlineStr">
        <is>
          <t>До</t>
        </is>
      </c>
      <c r="D99" s="15">
        <f>B99/B98-1</f>
        <v/>
      </c>
      <c r="E99" s="16">
        <f>LN(B99/B98)</f>
        <v/>
      </c>
      <c r="F99" s="15">
        <f>_xlfn.STDEV.S(OFFSET(D99,-Описание!$B$12,0,Описание!$B$12,1))</f>
        <v/>
      </c>
      <c r="G99" s="15">
        <f>SQRT(Описание!$B$13*G98^2+(1-Описание!$B$13)*D98^2)</f>
        <v/>
      </c>
      <c r="H99" s="17">
        <f>Описание!$B$9*F99*Описание!$B$7</f>
        <v/>
      </c>
      <c r="I99" s="17">
        <f>Описание!$B$9*G99*Описание!$B$7</f>
        <v/>
      </c>
    </row>
    <row r="100">
      <c r="A100" s="13" t="n">
        <v>38860</v>
      </c>
      <c r="B100" s="14" t="n">
        <v>1.2841</v>
      </c>
      <c r="C100" t="inlineStr">
        <is>
          <t>До</t>
        </is>
      </c>
      <c r="D100" s="15">
        <f>B100/B99-1</f>
        <v/>
      </c>
      <c r="E100" s="16">
        <f>LN(B100/B99)</f>
        <v/>
      </c>
      <c r="F100" s="15">
        <f>_xlfn.STDEV.S(OFFSET(D100,-Описание!$B$12,0,Описание!$B$12,1))</f>
        <v/>
      </c>
      <c r="G100" s="15">
        <f>SQRT(Описание!$B$13*G99^2+(1-Описание!$B$13)*D99^2)</f>
        <v/>
      </c>
      <c r="H100" s="17">
        <f>Описание!$B$9*F100*Описание!$B$7</f>
        <v/>
      </c>
      <c r="I100" s="17">
        <f>Описание!$B$9*G100*Описание!$B$7</f>
        <v/>
      </c>
    </row>
    <row r="101">
      <c r="A101" s="13" t="n">
        <v>38861</v>
      </c>
      <c r="B101" s="14" t="n">
        <v>1.2851</v>
      </c>
      <c r="C101" t="inlineStr">
        <is>
          <t>До</t>
        </is>
      </c>
      <c r="D101" s="15">
        <f>B101/B100-1</f>
        <v/>
      </c>
      <c r="E101" s="16">
        <f>LN(B101/B100)</f>
        <v/>
      </c>
      <c r="F101" s="15">
        <f>_xlfn.STDEV.S(OFFSET(D101,-Описание!$B$12,0,Описание!$B$12,1))</f>
        <v/>
      </c>
      <c r="G101" s="15">
        <f>SQRT(Описание!$B$13*G100^2+(1-Описание!$B$13)*D100^2)</f>
        <v/>
      </c>
      <c r="H101" s="17">
        <f>Описание!$B$9*F101*Описание!$B$7</f>
        <v/>
      </c>
      <c r="I101" s="17">
        <f>Описание!$B$9*G101*Описание!$B$7</f>
        <v/>
      </c>
    </row>
    <row r="102">
      <c r="A102" s="13" t="n">
        <v>38862</v>
      </c>
      <c r="B102" s="14" t="n">
        <v>1.2755</v>
      </c>
      <c r="C102" t="inlineStr">
        <is>
          <t>До</t>
        </is>
      </c>
      <c r="D102" s="15">
        <f>B102/B101-1</f>
        <v/>
      </c>
      <c r="E102" s="16">
        <f>LN(B102/B101)</f>
        <v/>
      </c>
      <c r="F102" s="15">
        <f>_xlfn.STDEV.S(OFFSET(D102,-Описание!$B$12,0,Описание!$B$12,1))</f>
        <v/>
      </c>
      <c r="G102" s="15">
        <f>SQRT(Описание!$B$13*G101^2+(1-Описание!$B$13)*D101^2)</f>
        <v/>
      </c>
      <c r="H102" s="17">
        <f>Описание!$B$9*F102*Описание!$B$7</f>
        <v/>
      </c>
      <c r="I102" s="17">
        <f>Описание!$B$9*G102*Описание!$B$7</f>
        <v/>
      </c>
    </row>
    <row r="103">
      <c r="A103" s="13" t="n">
        <v>38863</v>
      </c>
      <c r="B103" s="14" t="n">
        <v>1.2797</v>
      </c>
      <c r="C103" t="inlineStr">
        <is>
          <t>До</t>
        </is>
      </c>
      <c r="D103" s="15">
        <f>B103/B102-1</f>
        <v/>
      </c>
      <c r="E103" s="16">
        <f>LN(B103/B102)</f>
        <v/>
      </c>
      <c r="F103" s="15">
        <f>_xlfn.STDEV.S(OFFSET(D103,-Описание!$B$12,0,Описание!$B$12,1))</f>
        <v/>
      </c>
      <c r="G103" s="15">
        <f>SQRT(Описание!$B$13*G102^2+(1-Описание!$B$13)*D102^2)</f>
        <v/>
      </c>
      <c r="H103" s="17">
        <f>Описание!$B$9*F103*Описание!$B$7</f>
        <v/>
      </c>
      <c r="I103" s="17">
        <f>Описание!$B$9*G103*Описание!$B$7</f>
        <v/>
      </c>
    </row>
    <row r="104">
      <c r="A104" s="13" t="n">
        <v>38866</v>
      </c>
      <c r="B104" s="14" t="n">
        <v>1.2758</v>
      </c>
      <c r="C104" t="inlineStr">
        <is>
          <t>До</t>
        </is>
      </c>
      <c r="D104" s="15">
        <f>B104/B103-1</f>
        <v/>
      </c>
      <c r="E104" s="16">
        <f>LN(B104/B103)</f>
        <v/>
      </c>
      <c r="F104" s="15">
        <f>_xlfn.STDEV.S(OFFSET(D104,-Описание!$B$12,0,Описание!$B$12,1))</f>
        <v/>
      </c>
      <c r="G104" s="15">
        <f>SQRT(Описание!$B$13*G103^2+(1-Описание!$B$13)*D103^2)</f>
        <v/>
      </c>
      <c r="H104" s="17">
        <f>Описание!$B$9*F104*Описание!$B$7</f>
        <v/>
      </c>
      <c r="I104" s="17">
        <f>Описание!$B$9*G104*Описание!$B$7</f>
        <v/>
      </c>
    </row>
    <row r="105">
      <c r="A105" s="13" t="n">
        <v>38867</v>
      </c>
      <c r="B105" s="14" t="n">
        <v>1.2839</v>
      </c>
      <c r="C105" t="inlineStr">
        <is>
          <t>До</t>
        </is>
      </c>
      <c r="D105" s="15">
        <f>B105/B104-1</f>
        <v/>
      </c>
      <c r="E105" s="16">
        <f>LN(B105/B104)</f>
        <v/>
      </c>
      <c r="F105" s="15">
        <f>_xlfn.STDEV.S(OFFSET(D105,-Описание!$B$12,0,Описание!$B$12,1))</f>
        <v/>
      </c>
      <c r="G105" s="15">
        <f>SQRT(Описание!$B$13*G104^2+(1-Описание!$B$13)*D104^2)</f>
        <v/>
      </c>
      <c r="H105" s="17">
        <f>Описание!$B$9*F105*Описание!$B$7</f>
        <v/>
      </c>
      <c r="I105" s="17">
        <f>Описание!$B$9*G105*Описание!$B$7</f>
        <v/>
      </c>
    </row>
    <row r="106">
      <c r="A106" s="13" t="n">
        <v>38868</v>
      </c>
      <c r="B106" s="14" t="n">
        <v>1.2868</v>
      </c>
      <c r="C106" t="inlineStr">
        <is>
          <t>До</t>
        </is>
      </c>
      <c r="D106" s="15">
        <f>B106/B105-1</f>
        <v/>
      </c>
      <c r="E106" s="16">
        <f>LN(B106/B105)</f>
        <v/>
      </c>
      <c r="F106" s="15">
        <f>_xlfn.STDEV.S(OFFSET(D106,-Описание!$B$12,0,Описание!$B$12,1))</f>
        <v/>
      </c>
      <c r="G106" s="15">
        <f>SQRT(Описание!$B$13*G105^2+(1-Описание!$B$13)*D105^2)</f>
        <v/>
      </c>
      <c r="H106" s="17">
        <f>Описание!$B$9*F106*Описание!$B$7</f>
        <v/>
      </c>
      <c r="I106" s="17">
        <f>Описание!$B$9*G106*Описание!$B$7</f>
        <v/>
      </c>
    </row>
    <row r="107">
      <c r="A107" s="13" t="n">
        <v>38869</v>
      </c>
      <c r="B107" s="14" t="n">
        <v>1.2736</v>
      </c>
      <c r="C107" t="inlineStr">
        <is>
          <t>До</t>
        </is>
      </c>
      <c r="D107" s="15">
        <f>B107/B106-1</f>
        <v/>
      </c>
      <c r="E107" s="16">
        <f>LN(B107/B106)</f>
        <v/>
      </c>
      <c r="F107" s="15">
        <f>_xlfn.STDEV.S(OFFSET(D107,-Описание!$B$12,0,Описание!$B$12,1))</f>
        <v/>
      </c>
      <c r="G107" s="15">
        <f>SQRT(Описание!$B$13*G106^2+(1-Описание!$B$13)*D106^2)</f>
        <v/>
      </c>
      <c r="H107" s="17">
        <f>Описание!$B$9*F107*Описание!$B$7</f>
        <v/>
      </c>
      <c r="I107" s="17">
        <f>Описание!$B$9*G107*Описание!$B$7</f>
        <v/>
      </c>
    </row>
    <row r="108">
      <c r="A108" s="13" t="n">
        <v>38870</v>
      </c>
      <c r="B108" s="14" t="n">
        <v>1.2815</v>
      </c>
      <c r="C108" t="inlineStr">
        <is>
          <t>До</t>
        </is>
      </c>
      <c r="D108" s="15">
        <f>B108/B107-1</f>
        <v/>
      </c>
      <c r="E108" s="16">
        <f>LN(B108/B107)</f>
        <v/>
      </c>
      <c r="F108" s="15">
        <f>_xlfn.STDEV.S(OFFSET(D108,-Описание!$B$12,0,Описание!$B$12,1))</f>
        <v/>
      </c>
      <c r="G108" s="15">
        <f>SQRT(Описание!$B$13*G107^2+(1-Описание!$B$13)*D107^2)</f>
        <v/>
      </c>
      <c r="H108" s="17">
        <f>Описание!$B$9*F108*Описание!$B$7</f>
        <v/>
      </c>
      <c r="I108" s="17">
        <f>Описание!$B$9*G108*Описание!$B$7</f>
        <v/>
      </c>
    </row>
    <row r="109">
      <c r="A109" s="13" t="n">
        <v>38873</v>
      </c>
      <c r="B109" s="14" t="n">
        <v>1.2958</v>
      </c>
      <c r="C109" t="inlineStr">
        <is>
          <t>До</t>
        </is>
      </c>
      <c r="D109" s="15">
        <f>B109/B108-1</f>
        <v/>
      </c>
      <c r="E109" s="16">
        <f>LN(B109/B108)</f>
        <v/>
      </c>
      <c r="F109" s="15">
        <f>_xlfn.STDEV.S(OFFSET(D109,-Описание!$B$12,0,Описание!$B$12,1))</f>
        <v/>
      </c>
      <c r="G109" s="15">
        <f>SQRT(Описание!$B$13*G108^2+(1-Описание!$B$13)*D108^2)</f>
        <v/>
      </c>
      <c r="H109" s="17">
        <f>Описание!$B$9*F109*Описание!$B$7</f>
        <v/>
      </c>
      <c r="I109" s="17">
        <f>Описание!$B$9*G109*Описание!$B$7</f>
        <v/>
      </c>
    </row>
    <row r="110">
      <c r="A110" s="13" t="n">
        <v>38874</v>
      </c>
      <c r="B110" s="14" t="n">
        <v>1.2847</v>
      </c>
      <c r="C110" t="inlineStr">
        <is>
          <t>До</t>
        </is>
      </c>
      <c r="D110" s="15">
        <f>B110/B109-1</f>
        <v/>
      </c>
      <c r="E110" s="16">
        <f>LN(B110/B109)</f>
        <v/>
      </c>
      <c r="F110" s="15">
        <f>_xlfn.STDEV.S(OFFSET(D110,-Описание!$B$12,0,Описание!$B$12,1))</f>
        <v/>
      </c>
      <c r="G110" s="15">
        <f>SQRT(Описание!$B$13*G109^2+(1-Описание!$B$13)*D109^2)</f>
        <v/>
      </c>
      <c r="H110" s="17">
        <f>Описание!$B$9*F110*Описание!$B$7</f>
        <v/>
      </c>
      <c r="I110" s="17">
        <f>Описание!$B$9*G110*Описание!$B$7</f>
        <v/>
      </c>
    </row>
    <row r="111">
      <c r="A111" s="13" t="n">
        <v>38875</v>
      </c>
      <c r="B111" s="14" t="n">
        <v>1.2789</v>
      </c>
      <c r="C111" t="inlineStr">
        <is>
          <t>До</t>
        </is>
      </c>
      <c r="D111" s="15">
        <f>B111/B110-1</f>
        <v/>
      </c>
      <c r="E111" s="16">
        <f>LN(B111/B110)</f>
        <v/>
      </c>
      <c r="F111" s="15">
        <f>_xlfn.STDEV.S(OFFSET(D111,-Описание!$B$12,0,Описание!$B$12,1))</f>
        <v/>
      </c>
      <c r="G111" s="15">
        <f>SQRT(Описание!$B$13*G110^2+(1-Описание!$B$13)*D110^2)</f>
        <v/>
      </c>
      <c r="H111" s="17">
        <f>Описание!$B$9*F111*Описание!$B$7</f>
        <v/>
      </c>
      <c r="I111" s="17">
        <f>Описание!$B$9*G111*Описание!$B$7</f>
        <v/>
      </c>
    </row>
    <row r="112">
      <c r="A112" s="13" t="n">
        <v>38876</v>
      </c>
      <c r="B112" s="14" t="n">
        <v>1.2735</v>
      </c>
      <c r="C112" t="inlineStr">
        <is>
          <t>До</t>
        </is>
      </c>
      <c r="D112" s="15">
        <f>B112/B111-1</f>
        <v/>
      </c>
      <c r="E112" s="16">
        <f>LN(B112/B111)</f>
        <v/>
      </c>
      <c r="F112" s="15">
        <f>_xlfn.STDEV.S(OFFSET(D112,-Описание!$B$12,0,Описание!$B$12,1))</f>
        <v/>
      </c>
      <c r="G112" s="15">
        <f>SQRT(Описание!$B$13*G111^2+(1-Описание!$B$13)*D111^2)</f>
        <v/>
      </c>
      <c r="H112" s="17">
        <f>Описание!$B$9*F112*Описание!$B$7</f>
        <v/>
      </c>
      <c r="I112" s="17">
        <f>Описание!$B$9*G112*Описание!$B$7</f>
        <v/>
      </c>
    </row>
    <row r="113">
      <c r="A113" s="13" t="n">
        <v>38877</v>
      </c>
      <c r="B113" s="14" t="n">
        <v>1.2659</v>
      </c>
      <c r="C113" t="inlineStr">
        <is>
          <t>До</t>
        </is>
      </c>
      <c r="D113" s="15">
        <f>B113/B112-1</f>
        <v/>
      </c>
      <c r="E113" s="16">
        <f>LN(B113/B112)</f>
        <v/>
      </c>
      <c r="F113" s="15">
        <f>_xlfn.STDEV.S(OFFSET(D113,-Описание!$B$12,0,Описание!$B$12,1))</f>
        <v/>
      </c>
      <c r="G113" s="15">
        <f>SQRT(Описание!$B$13*G112^2+(1-Описание!$B$13)*D112^2)</f>
        <v/>
      </c>
      <c r="H113" s="17">
        <f>Описание!$B$9*F113*Описание!$B$7</f>
        <v/>
      </c>
      <c r="I113" s="17">
        <f>Описание!$B$9*G113*Описание!$B$7</f>
        <v/>
      </c>
    </row>
    <row r="114">
      <c r="A114" s="13" t="n">
        <v>38880</v>
      </c>
      <c r="B114" s="14" t="n">
        <v>1.2572</v>
      </c>
      <c r="C114" t="inlineStr">
        <is>
          <t>До</t>
        </is>
      </c>
      <c r="D114" s="15">
        <f>B114/B113-1</f>
        <v/>
      </c>
      <c r="E114" s="16">
        <f>LN(B114/B113)</f>
        <v/>
      </c>
      <c r="F114" s="15">
        <f>_xlfn.STDEV.S(OFFSET(D114,-Описание!$B$12,0,Описание!$B$12,1))</f>
        <v/>
      </c>
      <c r="G114" s="15">
        <f>SQRT(Описание!$B$13*G113^2+(1-Описание!$B$13)*D113^2)</f>
        <v/>
      </c>
      <c r="H114" s="17">
        <f>Описание!$B$9*F114*Описание!$B$7</f>
        <v/>
      </c>
      <c r="I114" s="17">
        <f>Описание!$B$9*G114*Описание!$B$7</f>
        <v/>
      </c>
    </row>
    <row r="115">
      <c r="A115" s="13" t="n">
        <v>38881</v>
      </c>
      <c r="B115" s="14" t="n">
        <v>1.2571</v>
      </c>
      <c r="C115" t="inlineStr">
        <is>
          <t>До</t>
        </is>
      </c>
      <c r="D115" s="15">
        <f>B115/B114-1</f>
        <v/>
      </c>
      <c r="E115" s="16">
        <f>LN(B115/B114)</f>
        <v/>
      </c>
      <c r="F115" s="15">
        <f>_xlfn.STDEV.S(OFFSET(D115,-Описание!$B$12,0,Описание!$B$12,1))</f>
        <v/>
      </c>
      <c r="G115" s="15">
        <f>SQRT(Описание!$B$13*G114^2+(1-Описание!$B$13)*D114^2)</f>
        <v/>
      </c>
      <c r="H115" s="17">
        <f>Описание!$B$9*F115*Описание!$B$7</f>
        <v/>
      </c>
      <c r="I115" s="17">
        <f>Описание!$B$9*G115*Описание!$B$7</f>
        <v/>
      </c>
    </row>
    <row r="116">
      <c r="A116" s="13" t="n">
        <v>38882</v>
      </c>
      <c r="B116" s="14" t="n">
        <v>1.2563</v>
      </c>
      <c r="C116" t="inlineStr">
        <is>
          <t>До</t>
        </is>
      </c>
      <c r="D116" s="15">
        <f>B116/B115-1</f>
        <v/>
      </c>
      <c r="E116" s="16">
        <f>LN(B116/B115)</f>
        <v/>
      </c>
      <c r="F116" s="15">
        <f>_xlfn.STDEV.S(OFFSET(D116,-Описание!$B$12,0,Описание!$B$12,1))</f>
        <v/>
      </c>
      <c r="G116" s="15">
        <f>SQRT(Описание!$B$13*G115^2+(1-Описание!$B$13)*D115^2)</f>
        <v/>
      </c>
      <c r="H116" s="17">
        <f>Описание!$B$9*F116*Описание!$B$7</f>
        <v/>
      </c>
      <c r="I116" s="17">
        <f>Описание!$B$9*G116*Описание!$B$7</f>
        <v/>
      </c>
    </row>
    <row r="117">
      <c r="A117" s="13" t="n">
        <v>38883</v>
      </c>
      <c r="B117" s="14" t="n">
        <v>1.261</v>
      </c>
      <c r="C117" t="inlineStr">
        <is>
          <t>До</t>
        </is>
      </c>
      <c r="D117" s="15">
        <f>B117/B116-1</f>
        <v/>
      </c>
      <c r="E117" s="16">
        <f>LN(B117/B116)</f>
        <v/>
      </c>
      <c r="F117" s="15">
        <f>_xlfn.STDEV.S(OFFSET(D117,-Описание!$B$12,0,Описание!$B$12,1))</f>
        <v/>
      </c>
      <c r="G117" s="15">
        <f>SQRT(Описание!$B$13*G116^2+(1-Описание!$B$13)*D116^2)</f>
        <v/>
      </c>
      <c r="H117" s="17">
        <f>Описание!$B$9*F117*Описание!$B$7</f>
        <v/>
      </c>
      <c r="I117" s="17">
        <f>Описание!$B$9*G117*Описание!$B$7</f>
        <v/>
      </c>
    </row>
    <row r="118">
      <c r="A118" s="13" t="n">
        <v>38884</v>
      </c>
      <c r="B118" s="14" t="n">
        <v>1.2651</v>
      </c>
      <c r="C118" t="inlineStr">
        <is>
          <t>До</t>
        </is>
      </c>
      <c r="D118" s="15">
        <f>B118/B117-1</f>
        <v/>
      </c>
      <c r="E118" s="16">
        <f>LN(B118/B117)</f>
        <v/>
      </c>
      <c r="F118" s="15">
        <f>_xlfn.STDEV.S(OFFSET(D118,-Описание!$B$12,0,Описание!$B$12,1))</f>
        <v/>
      </c>
      <c r="G118" s="15">
        <f>SQRT(Описание!$B$13*G117^2+(1-Описание!$B$13)*D117^2)</f>
        <v/>
      </c>
      <c r="H118" s="17">
        <f>Описание!$B$9*F118*Описание!$B$7</f>
        <v/>
      </c>
      <c r="I118" s="17">
        <f>Описание!$B$9*G118*Описание!$B$7</f>
        <v/>
      </c>
    </row>
    <row r="119">
      <c r="A119" s="13" t="n">
        <v>38887</v>
      </c>
      <c r="B119" s="14" t="n">
        <v>1.2591</v>
      </c>
      <c r="C119" t="inlineStr">
        <is>
          <t>До</t>
        </is>
      </c>
      <c r="D119" s="15">
        <f>B119/B118-1</f>
        <v/>
      </c>
      <c r="E119" s="16">
        <f>LN(B119/B118)</f>
        <v/>
      </c>
      <c r="F119" s="15">
        <f>_xlfn.STDEV.S(OFFSET(D119,-Описание!$B$12,0,Описание!$B$12,1))</f>
        <v/>
      </c>
      <c r="G119" s="15">
        <f>SQRT(Описание!$B$13*G118^2+(1-Описание!$B$13)*D118^2)</f>
        <v/>
      </c>
      <c r="H119" s="17">
        <f>Описание!$B$9*F119*Описание!$B$7</f>
        <v/>
      </c>
      <c r="I119" s="17">
        <f>Описание!$B$9*G119*Описание!$B$7</f>
        <v/>
      </c>
    </row>
    <row r="120">
      <c r="A120" s="13" t="n">
        <v>38888</v>
      </c>
      <c r="B120" s="14" t="n">
        <v>1.2546</v>
      </c>
      <c r="C120" t="inlineStr">
        <is>
          <t>До</t>
        </is>
      </c>
      <c r="D120" s="15">
        <f>B120/B119-1</f>
        <v/>
      </c>
      <c r="E120" s="16">
        <f>LN(B120/B119)</f>
        <v/>
      </c>
      <c r="F120" s="15">
        <f>_xlfn.STDEV.S(OFFSET(D120,-Описание!$B$12,0,Описание!$B$12,1))</f>
        <v/>
      </c>
      <c r="G120" s="15">
        <f>SQRT(Описание!$B$13*G119^2+(1-Описание!$B$13)*D119^2)</f>
        <v/>
      </c>
      <c r="H120" s="17">
        <f>Описание!$B$9*F120*Описание!$B$7</f>
        <v/>
      </c>
      <c r="I120" s="17">
        <f>Описание!$B$9*G120*Описание!$B$7</f>
        <v/>
      </c>
    </row>
    <row r="121">
      <c r="A121" s="13" t="n">
        <v>38889</v>
      </c>
      <c r="B121" s="14" t="n">
        <v>1.2632</v>
      </c>
      <c r="C121" t="inlineStr">
        <is>
          <t>До</t>
        </is>
      </c>
      <c r="D121" s="15">
        <f>B121/B120-1</f>
        <v/>
      </c>
      <c r="E121" s="16">
        <f>LN(B121/B120)</f>
        <v/>
      </c>
      <c r="F121" s="15">
        <f>_xlfn.STDEV.S(OFFSET(D121,-Описание!$B$12,0,Описание!$B$12,1))</f>
        <v/>
      </c>
      <c r="G121" s="15">
        <f>SQRT(Описание!$B$13*G120^2+(1-Описание!$B$13)*D120^2)</f>
        <v/>
      </c>
      <c r="H121" s="17">
        <f>Описание!$B$9*F121*Описание!$B$7</f>
        <v/>
      </c>
      <c r="I121" s="17">
        <f>Описание!$B$9*G121*Описание!$B$7</f>
        <v/>
      </c>
    </row>
    <row r="122">
      <c r="A122" s="13" t="n">
        <v>38890</v>
      </c>
      <c r="B122" s="14" t="n">
        <v>1.2582</v>
      </c>
      <c r="C122" t="inlineStr">
        <is>
          <t>До</t>
        </is>
      </c>
      <c r="D122" s="15">
        <f>B122/B121-1</f>
        <v/>
      </c>
      <c r="E122" s="16">
        <f>LN(B122/B121)</f>
        <v/>
      </c>
      <c r="F122" s="15">
        <f>_xlfn.STDEV.S(OFFSET(D122,-Описание!$B$12,0,Описание!$B$12,1))</f>
        <v/>
      </c>
      <c r="G122" s="15">
        <f>SQRT(Описание!$B$13*G121^2+(1-Описание!$B$13)*D121^2)</f>
        <v/>
      </c>
      <c r="H122" s="17">
        <f>Описание!$B$9*F122*Описание!$B$7</f>
        <v/>
      </c>
      <c r="I122" s="17">
        <f>Описание!$B$9*G122*Описание!$B$7</f>
        <v/>
      </c>
    </row>
    <row r="123">
      <c r="A123" s="13" t="n">
        <v>38891</v>
      </c>
      <c r="B123" s="14" t="n">
        <v>1.2502</v>
      </c>
      <c r="C123" t="inlineStr">
        <is>
          <t>До</t>
        </is>
      </c>
      <c r="D123" s="15">
        <f>B123/B122-1</f>
        <v/>
      </c>
      <c r="E123" s="16">
        <f>LN(B123/B122)</f>
        <v/>
      </c>
      <c r="F123" s="15">
        <f>_xlfn.STDEV.S(OFFSET(D123,-Описание!$B$12,0,Описание!$B$12,1))</f>
        <v/>
      </c>
      <c r="G123" s="15">
        <f>SQRT(Описание!$B$13*G122^2+(1-Описание!$B$13)*D122^2)</f>
        <v/>
      </c>
      <c r="H123" s="17">
        <f>Описание!$B$9*F123*Описание!$B$7</f>
        <v/>
      </c>
      <c r="I123" s="17">
        <f>Описание!$B$9*G123*Описание!$B$7</f>
        <v/>
      </c>
    </row>
    <row r="124">
      <c r="A124" s="13" t="n">
        <v>38894</v>
      </c>
      <c r="B124" s="14" t="n">
        <v>1.2561</v>
      </c>
      <c r="C124" t="inlineStr">
        <is>
          <t>До</t>
        </is>
      </c>
      <c r="D124" s="15">
        <f>B124/B123-1</f>
        <v/>
      </c>
      <c r="E124" s="16">
        <f>LN(B124/B123)</f>
        <v/>
      </c>
      <c r="F124" s="15">
        <f>_xlfn.STDEV.S(OFFSET(D124,-Описание!$B$12,0,Описание!$B$12,1))</f>
        <v/>
      </c>
      <c r="G124" s="15">
        <f>SQRT(Описание!$B$13*G123^2+(1-Описание!$B$13)*D123^2)</f>
        <v/>
      </c>
      <c r="H124" s="17">
        <f>Описание!$B$9*F124*Описание!$B$7</f>
        <v/>
      </c>
      <c r="I124" s="17">
        <f>Описание!$B$9*G124*Описание!$B$7</f>
        <v/>
      </c>
    </row>
    <row r="125">
      <c r="A125" s="13" t="n">
        <v>38895</v>
      </c>
      <c r="B125" s="14" t="n">
        <v>1.2567</v>
      </c>
      <c r="C125" t="inlineStr">
        <is>
          <t>До</t>
        </is>
      </c>
      <c r="D125" s="15">
        <f>B125/B124-1</f>
        <v/>
      </c>
      <c r="E125" s="16">
        <f>LN(B125/B124)</f>
        <v/>
      </c>
      <c r="F125" s="15">
        <f>_xlfn.STDEV.S(OFFSET(D125,-Описание!$B$12,0,Описание!$B$12,1))</f>
        <v/>
      </c>
      <c r="G125" s="15">
        <f>SQRT(Описание!$B$13*G124^2+(1-Описание!$B$13)*D124^2)</f>
        <v/>
      </c>
      <c r="H125" s="17">
        <f>Описание!$B$9*F125*Описание!$B$7</f>
        <v/>
      </c>
      <c r="I125" s="17">
        <f>Описание!$B$9*G125*Описание!$B$7</f>
        <v/>
      </c>
    </row>
    <row r="126">
      <c r="A126" s="13" t="n">
        <v>38896</v>
      </c>
      <c r="B126" s="14" t="n">
        <v>1.257</v>
      </c>
      <c r="C126" t="inlineStr">
        <is>
          <t>До</t>
        </is>
      </c>
      <c r="D126" s="15">
        <f>B126/B125-1</f>
        <v/>
      </c>
      <c r="E126" s="16">
        <f>LN(B126/B125)</f>
        <v/>
      </c>
      <c r="F126" s="15">
        <f>_xlfn.STDEV.S(OFFSET(D126,-Описание!$B$12,0,Описание!$B$12,1))</f>
        <v/>
      </c>
      <c r="G126" s="15">
        <f>SQRT(Описание!$B$13*G125^2+(1-Описание!$B$13)*D125^2)</f>
        <v/>
      </c>
      <c r="H126" s="17">
        <f>Описание!$B$9*F126*Описание!$B$7</f>
        <v/>
      </c>
      <c r="I126" s="17">
        <f>Описание!$B$9*G126*Описание!$B$7</f>
        <v/>
      </c>
    </row>
    <row r="127">
      <c r="A127" s="13" t="n">
        <v>38897</v>
      </c>
      <c r="B127" s="14" t="n">
        <v>1.2529</v>
      </c>
      <c r="C127" t="inlineStr">
        <is>
          <t>До</t>
        </is>
      </c>
      <c r="D127" s="15">
        <f>B127/B126-1</f>
        <v/>
      </c>
      <c r="E127" s="16">
        <f>LN(B127/B126)</f>
        <v/>
      </c>
      <c r="F127" s="15">
        <f>_xlfn.STDEV.S(OFFSET(D127,-Описание!$B$12,0,Описание!$B$12,1))</f>
        <v/>
      </c>
      <c r="G127" s="15">
        <f>SQRT(Описание!$B$13*G126^2+(1-Описание!$B$13)*D126^2)</f>
        <v/>
      </c>
      <c r="H127" s="17">
        <f>Описание!$B$9*F127*Описание!$B$7</f>
        <v/>
      </c>
      <c r="I127" s="17">
        <f>Описание!$B$9*G127*Описание!$B$7</f>
        <v/>
      </c>
    </row>
    <row r="128">
      <c r="A128" s="13" t="n">
        <v>38898</v>
      </c>
      <c r="B128" s="14" t="n">
        <v>1.2713</v>
      </c>
      <c r="C128" t="inlineStr">
        <is>
          <t>До</t>
        </is>
      </c>
      <c r="D128" s="15">
        <f>B128/B127-1</f>
        <v/>
      </c>
      <c r="E128" s="16">
        <f>LN(B128/B127)</f>
        <v/>
      </c>
      <c r="F128" s="15">
        <f>_xlfn.STDEV.S(OFFSET(D128,-Описание!$B$12,0,Описание!$B$12,1))</f>
        <v/>
      </c>
      <c r="G128" s="15">
        <f>SQRT(Описание!$B$13*G127^2+(1-Описание!$B$13)*D127^2)</f>
        <v/>
      </c>
      <c r="H128" s="17">
        <f>Описание!$B$9*F128*Описание!$B$7</f>
        <v/>
      </c>
      <c r="I128" s="17">
        <f>Описание!$B$9*G128*Описание!$B$7</f>
        <v/>
      </c>
    </row>
    <row r="129">
      <c r="A129" s="13" t="n">
        <v>38901</v>
      </c>
      <c r="B129" s="14" t="n">
        <v>1.279</v>
      </c>
      <c r="C129" t="inlineStr">
        <is>
          <t>До</t>
        </is>
      </c>
      <c r="D129" s="15">
        <f>B129/B128-1</f>
        <v/>
      </c>
      <c r="E129" s="16">
        <f>LN(B129/B128)</f>
        <v/>
      </c>
      <c r="F129" s="15">
        <f>_xlfn.STDEV.S(OFFSET(D129,-Описание!$B$12,0,Описание!$B$12,1))</f>
        <v/>
      </c>
      <c r="G129" s="15">
        <f>SQRT(Описание!$B$13*G128^2+(1-Описание!$B$13)*D128^2)</f>
        <v/>
      </c>
      <c r="H129" s="17">
        <f>Описание!$B$9*F129*Описание!$B$7</f>
        <v/>
      </c>
      <c r="I129" s="17">
        <f>Описание!$B$9*G129*Описание!$B$7</f>
        <v/>
      </c>
    </row>
    <row r="130">
      <c r="A130" s="13" t="n">
        <v>38902</v>
      </c>
      <c r="B130" s="14" t="n">
        <v>1.2791</v>
      </c>
      <c r="C130" t="inlineStr">
        <is>
          <t>До</t>
        </is>
      </c>
      <c r="D130" s="15">
        <f>B130/B129-1</f>
        <v/>
      </c>
      <c r="E130" s="16">
        <f>LN(B130/B129)</f>
        <v/>
      </c>
      <c r="F130" s="15">
        <f>_xlfn.STDEV.S(OFFSET(D130,-Описание!$B$12,0,Описание!$B$12,1))</f>
        <v/>
      </c>
      <c r="G130" s="15">
        <f>SQRT(Описание!$B$13*G129^2+(1-Описание!$B$13)*D129^2)</f>
        <v/>
      </c>
      <c r="H130" s="17">
        <f>Описание!$B$9*F130*Описание!$B$7</f>
        <v/>
      </c>
      <c r="I130" s="17">
        <f>Описание!$B$9*G130*Описание!$B$7</f>
        <v/>
      </c>
    </row>
    <row r="131">
      <c r="A131" s="13" t="n">
        <v>38903</v>
      </c>
      <c r="B131" s="14" t="n">
        <v>1.2794</v>
      </c>
      <c r="C131" t="inlineStr">
        <is>
          <t>До</t>
        </is>
      </c>
      <c r="D131" s="15">
        <f>B131/B130-1</f>
        <v/>
      </c>
      <c r="E131" s="16">
        <f>LN(B131/B130)</f>
        <v/>
      </c>
      <c r="F131" s="15">
        <f>_xlfn.STDEV.S(OFFSET(D131,-Описание!$B$12,0,Описание!$B$12,1))</f>
        <v/>
      </c>
      <c r="G131" s="15">
        <f>SQRT(Описание!$B$13*G130^2+(1-Описание!$B$13)*D130^2)</f>
        <v/>
      </c>
      <c r="H131" s="17">
        <f>Описание!$B$9*F131*Описание!$B$7</f>
        <v/>
      </c>
      <c r="I131" s="17">
        <f>Описание!$B$9*G131*Описание!$B$7</f>
        <v/>
      </c>
    </row>
    <row r="132">
      <c r="A132" s="13" t="n">
        <v>38904</v>
      </c>
      <c r="B132" s="14" t="n">
        <v>1.2735</v>
      </c>
      <c r="C132" t="inlineStr">
        <is>
          <t>До</t>
        </is>
      </c>
      <c r="D132" s="15">
        <f>B132/B131-1</f>
        <v/>
      </c>
      <c r="E132" s="16">
        <f>LN(B132/B131)</f>
        <v/>
      </c>
      <c r="F132" s="15">
        <f>_xlfn.STDEV.S(OFFSET(D132,-Описание!$B$12,0,Описание!$B$12,1))</f>
        <v/>
      </c>
      <c r="G132" s="15">
        <f>SQRT(Описание!$B$13*G131^2+(1-Описание!$B$13)*D131^2)</f>
        <v/>
      </c>
      <c r="H132" s="17">
        <f>Описание!$B$9*F132*Описание!$B$7</f>
        <v/>
      </c>
      <c r="I132" s="17">
        <f>Описание!$B$9*G132*Описание!$B$7</f>
        <v/>
      </c>
    </row>
    <row r="133">
      <c r="A133" s="13" t="n">
        <v>38905</v>
      </c>
      <c r="B133" s="14" t="n">
        <v>1.2778</v>
      </c>
      <c r="C133" t="inlineStr">
        <is>
          <t>До</t>
        </is>
      </c>
      <c r="D133" s="15">
        <f>B133/B132-1</f>
        <v/>
      </c>
      <c r="E133" s="16">
        <f>LN(B133/B132)</f>
        <v/>
      </c>
      <c r="F133" s="15">
        <f>_xlfn.STDEV.S(OFFSET(D133,-Описание!$B$12,0,Описание!$B$12,1))</f>
        <v/>
      </c>
      <c r="G133" s="15">
        <f>SQRT(Описание!$B$13*G132^2+(1-Описание!$B$13)*D132^2)</f>
        <v/>
      </c>
      <c r="H133" s="17">
        <f>Описание!$B$9*F133*Описание!$B$7</f>
        <v/>
      </c>
      <c r="I133" s="17">
        <f>Описание!$B$9*G133*Описание!$B$7</f>
        <v/>
      </c>
    </row>
    <row r="134">
      <c r="A134" s="13" t="n">
        <v>38908</v>
      </c>
      <c r="B134" s="14" t="n">
        <v>1.2752</v>
      </c>
      <c r="C134" t="inlineStr">
        <is>
          <t>До</t>
        </is>
      </c>
      <c r="D134" s="15">
        <f>B134/B133-1</f>
        <v/>
      </c>
      <c r="E134" s="16">
        <f>LN(B134/B133)</f>
        <v/>
      </c>
      <c r="F134" s="15">
        <f>_xlfn.STDEV.S(OFFSET(D134,-Описание!$B$12,0,Описание!$B$12,1))</f>
        <v/>
      </c>
      <c r="G134" s="15">
        <f>SQRT(Описание!$B$13*G133^2+(1-Описание!$B$13)*D133^2)</f>
        <v/>
      </c>
      <c r="H134" s="17">
        <f>Описание!$B$9*F134*Описание!$B$7</f>
        <v/>
      </c>
      <c r="I134" s="17">
        <f>Описание!$B$9*G134*Описание!$B$7</f>
        <v/>
      </c>
    </row>
    <row r="135">
      <c r="A135" s="13" t="n">
        <v>38909</v>
      </c>
      <c r="B135" s="14" t="n">
        <v>1.2736</v>
      </c>
      <c r="C135" t="inlineStr">
        <is>
          <t>До</t>
        </is>
      </c>
      <c r="D135" s="15">
        <f>B135/B134-1</f>
        <v/>
      </c>
      <c r="E135" s="16">
        <f>LN(B135/B134)</f>
        <v/>
      </c>
      <c r="F135" s="15">
        <f>_xlfn.STDEV.S(OFFSET(D135,-Описание!$B$12,0,Описание!$B$12,1))</f>
        <v/>
      </c>
      <c r="G135" s="15">
        <f>SQRT(Описание!$B$13*G134^2+(1-Описание!$B$13)*D134^2)</f>
        <v/>
      </c>
      <c r="H135" s="17">
        <f>Описание!$B$9*F135*Описание!$B$7</f>
        <v/>
      </c>
      <c r="I135" s="17">
        <f>Описание!$B$9*G135*Описание!$B$7</f>
        <v/>
      </c>
    </row>
    <row r="136">
      <c r="A136" s="13" t="n">
        <v>38910</v>
      </c>
      <c r="B136" s="14" t="n">
        <v>1.2722</v>
      </c>
      <c r="C136" t="inlineStr">
        <is>
          <t>До</t>
        </is>
      </c>
      <c r="D136" s="15">
        <f>B136/B135-1</f>
        <v/>
      </c>
      <c r="E136" s="16">
        <f>LN(B136/B135)</f>
        <v/>
      </c>
      <c r="F136" s="15">
        <f>_xlfn.STDEV.S(OFFSET(D136,-Описание!$B$12,0,Описание!$B$12,1))</f>
        <v/>
      </c>
      <c r="G136" s="15">
        <f>SQRT(Описание!$B$13*G135^2+(1-Описание!$B$13)*D135^2)</f>
        <v/>
      </c>
      <c r="H136" s="17">
        <f>Описание!$B$9*F136*Описание!$B$7</f>
        <v/>
      </c>
      <c r="I136" s="17">
        <f>Описание!$B$9*G136*Описание!$B$7</f>
        <v/>
      </c>
    </row>
    <row r="137">
      <c r="A137" s="13" t="n">
        <v>38911</v>
      </c>
      <c r="B137" s="14" t="n">
        <v>1.2692</v>
      </c>
      <c r="C137" t="inlineStr">
        <is>
          <t>До</t>
        </is>
      </c>
      <c r="D137" s="15">
        <f>B137/B136-1</f>
        <v/>
      </c>
      <c r="E137" s="16">
        <f>LN(B137/B136)</f>
        <v/>
      </c>
      <c r="F137" s="15">
        <f>_xlfn.STDEV.S(OFFSET(D137,-Описание!$B$12,0,Описание!$B$12,1))</f>
        <v/>
      </c>
      <c r="G137" s="15">
        <f>SQRT(Описание!$B$13*G136^2+(1-Описание!$B$13)*D136^2)</f>
        <v/>
      </c>
      <c r="H137" s="17">
        <f>Описание!$B$9*F137*Описание!$B$7</f>
        <v/>
      </c>
      <c r="I137" s="17">
        <f>Описание!$B$9*G137*Описание!$B$7</f>
        <v/>
      </c>
    </row>
    <row r="138">
      <c r="A138" s="13" t="n">
        <v>38912</v>
      </c>
      <c r="B138" s="14" t="n">
        <v>1.2666</v>
      </c>
      <c r="C138" t="inlineStr">
        <is>
          <t>До</t>
        </is>
      </c>
      <c r="D138" s="15">
        <f>B138/B137-1</f>
        <v/>
      </c>
      <c r="E138" s="16">
        <f>LN(B138/B137)</f>
        <v/>
      </c>
      <c r="F138" s="15">
        <f>_xlfn.STDEV.S(OFFSET(D138,-Описание!$B$12,0,Описание!$B$12,1))</f>
        <v/>
      </c>
      <c r="G138" s="15">
        <f>SQRT(Описание!$B$13*G137^2+(1-Описание!$B$13)*D137^2)</f>
        <v/>
      </c>
      <c r="H138" s="17">
        <f>Описание!$B$9*F138*Описание!$B$7</f>
        <v/>
      </c>
      <c r="I138" s="17">
        <f>Описание!$B$9*G138*Описание!$B$7</f>
        <v/>
      </c>
    </row>
    <row r="139">
      <c r="A139" s="13" t="n">
        <v>38915</v>
      </c>
      <c r="B139" s="14" t="n">
        <v>1.2541</v>
      </c>
      <c r="C139" t="inlineStr">
        <is>
          <t>До</t>
        </is>
      </c>
      <c r="D139" s="15">
        <f>B139/B138-1</f>
        <v/>
      </c>
      <c r="E139" s="16">
        <f>LN(B139/B138)</f>
        <v/>
      </c>
      <c r="F139" s="15">
        <f>_xlfn.STDEV.S(OFFSET(D139,-Описание!$B$12,0,Описание!$B$12,1))</f>
        <v/>
      </c>
      <c r="G139" s="15">
        <f>SQRT(Описание!$B$13*G138^2+(1-Описание!$B$13)*D138^2)</f>
        <v/>
      </c>
      <c r="H139" s="17">
        <f>Описание!$B$9*F139*Описание!$B$7</f>
        <v/>
      </c>
      <c r="I139" s="17">
        <f>Описание!$B$9*G139*Описание!$B$7</f>
        <v/>
      </c>
    </row>
    <row r="140">
      <c r="A140" s="13" t="n">
        <v>38916</v>
      </c>
      <c r="B140" s="14" t="n">
        <v>1.2531</v>
      </c>
      <c r="C140" t="inlineStr">
        <is>
          <t>До</t>
        </is>
      </c>
      <c r="D140" s="15">
        <f>B140/B139-1</f>
        <v/>
      </c>
      <c r="E140" s="16">
        <f>LN(B140/B139)</f>
        <v/>
      </c>
      <c r="F140" s="15">
        <f>_xlfn.STDEV.S(OFFSET(D140,-Описание!$B$12,0,Описание!$B$12,1))</f>
        <v/>
      </c>
      <c r="G140" s="15">
        <f>SQRT(Описание!$B$13*G139^2+(1-Описание!$B$13)*D139^2)</f>
        <v/>
      </c>
      <c r="H140" s="17">
        <f>Описание!$B$9*F140*Описание!$B$7</f>
        <v/>
      </c>
      <c r="I140" s="17">
        <f>Описание!$B$9*G140*Описание!$B$7</f>
        <v/>
      </c>
    </row>
    <row r="141">
      <c r="A141" s="13" t="n">
        <v>38917</v>
      </c>
      <c r="B141" s="14" t="n">
        <v>1.2482</v>
      </c>
      <c r="C141" t="inlineStr">
        <is>
          <t>До</t>
        </is>
      </c>
      <c r="D141" s="15">
        <f>B141/B140-1</f>
        <v/>
      </c>
      <c r="E141" s="16">
        <f>LN(B141/B140)</f>
        <v/>
      </c>
      <c r="F141" s="15">
        <f>_xlfn.STDEV.S(OFFSET(D141,-Описание!$B$12,0,Описание!$B$12,1))</f>
        <v/>
      </c>
      <c r="G141" s="15">
        <f>SQRT(Описание!$B$13*G140^2+(1-Описание!$B$13)*D140^2)</f>
        <v/>
      </c>
      <c r="H141" s="17">
        <f>Описание!$B$9*F141*Описание!$B$7</f>
        <v/>
      </c>
      <c r="I141" s="17">
        <f>Описание!$B$9*G141*Описание!$B$7</f>
        <v/>
      </c>
    </row>
    <row r="142">
      <c r="A142" s="13" t="n">
        <v>38918</v>
      </c>
      <c r="B142" s="14" t="n">
        <v>1.2643</v>
      </c>
      <c r="C142" t="inlineStr">
        <is>
          <t>До</t>
        </is>
      </c>
      <c r="D142" s="15">
        <f>B142/B141-1</f>
        <v/>
      </c>
      <c r="E142" s="16">
        <f>LN(B142/B141)</f>
        <v/>
      </c>
      <c r="F142" s="15">
        <f>_xlfn.STDEV.S(OFFSET(D142,-Описание!$B$12,0,Описание!$B$12,1))</f>
        <v/>
      </c>
      <c r="G142" s="15">
        <f>SQRT(Описание!$B$13*G141^2+(1-Описание!$B$13)*D141^2)</f>
        <v/>
      </c>
      <c r="H142" s="17">
        <f>Описание!$B$9*F142*Описание!$B$7</f>
        <v/>
      </c>
      <c r="I142" s="17">
        <f>Описание!$B$9*G142*Описание!$B$7</f>
        <v/>
      </c>
    </row>
    <row r="143">
      <c r="A143" s="13" t="n">
        <v>38919</v>
      </c>
      <c r="B143" s="14" t="n">
        <v>1.268</v>
      </c>
      <c r="C143" t="inlineStr">
        <is>
          <t>До</t>
        </is>
      </c>
      <c r="D143" s="15">
        <f>B143/B142-1</f>
        <v/>
      </c>
      <c r="E143" s="16">
        <f>LN(B143/B142)</f>
        <v/>
      </c>
      <c r="F143" s="15">
        <f>_xlfn.STDEV.S(OFFSET(D143,-Описание!$B$12,0,Описание!$B$12,1))</f>
        <v/>
      </c>
      <c r="G143" s="15">
        <f>SQRT(Описание!$B$13*G142^2+(1-Описание!$B$13)*D142^2)</f>
        <v/>
      </c>
      <c r="H143" s="17">
        <f>Описание!$B$9*F143*Описание!$B$7</f>
        <v/>
      </c>
      <c r="I143" s="17">
        <f>Описание!$B$9*G143*Описание!$B$7</f>
        <v/>
      </c>
    </row>
    <row r="144">
      <c r="A144" s="13" t="n">
        <v>38922</v>
      </c>
      <c r="B144" s="14" t="n">
        <v>1.2633</v>
      </c>
      <c r="C144" t="inlineStr">
        <is>
          <t>До</t>
        </is>
      </c>
      <c r="D144" s="15">
        <f>B144/B143-1</f>
        <v/>
      </c>
      <c r="E144" s="16">
        <f>LN(B144/B143)</f>
        <v/>
      </c>
      <c r="F144" s="15">
        <f>_xlfn.STDEV.S(OFFSET(D144,-Описание!$B$12,0,Описание!$B$12,1))</f>
        <v/>
      </c>
      <c r="G144" s="15">
        <f>SQRT(Описание!$B$13*G143^2+(1-Описание!$B$13)*D143^2)</f>
        <v/>
      </c>
      <c r="H144" s="17">
        <f>Описание!$B$9*F144*Описание!$B$7</f>
        <v/>
      </c>
      <c r="I144" s="17">
        <f>Описание!$B$9*G144*Описание!$B$7</f>
        <v/>
      </c>
    </row>
    <row r="145">
      <c r="A145" s="13" t="n">
        <v>38923</v>
      </c>
      <c r="B145" s="14" t="n">
        <v>1.2636</v>
      </c>
      <c r="C145" t="inlineStr">
        <is>
          <t>До</t>
        </is>
      </c>
      <c r="D145" s="15">
        <f>B145/B144-1</f>
        <v/>
      </c>
      <c r="E145" s="16">
        <f>LN(B145/B144)</f>
        <v/>
      </c>
      <c r="F145" s="15">
        <f>_xlfn.STDEV.S(OFFSET(D145,-Описание!$B$12,0,Описание!$B$12,1))</f>
        <v/>
      </c>
      <c r="G145" s="15">
        <f>SQRT(Описание!$B$13*G144^2+(1-Описание!$B$13)*D144^2)</f>
        <v/>
      </c>
      <c r="H145" s="17">
        <f>Описание!$B$9*F145*Описание!$B$7</f>
        <v/>
      </c>
      <c r="I145" s="17">
        <f>Описание!$B$9*G145*Описание!$B$7</f>
        <v/>
      </c>
    </row>
    <row r="146">
      <c r="A146" s="13" t="n">
        <v>38924</v>
      </c>
      <c r="B146" s="14" t="n">
        <v>1.2587</v>
      </c>
      <c r="C146" t="inlineStr">
        <is>
          <t>До</t>
        </is>
      </c>
      <c r="D146" s="15">
        <f>B146/B145-1</f>
        <v/>
      </c>
      <c r="E146" s="16">
        <f>LN(B146/B145)</f>
        <v/>
      </c>
      <c r="F146" s="15">
        <f>_xlfn.STDEV.S(OFFSET(D146,-Описание!$B$12,0,Описание!$B$12,1))</f>
        <v/>
      </c>
      <c r="G146" s="15">
        <f>SQRT(Описание!$B$13*G145^2+(1-Описание!$B$13)*D145^2)</f>
        <v/>
      </c>
      <c r="H146" s="17">
        <f>Описание!$B$9*F146*Описание!$B$7</f>
        <v/>
      </c>
      <c r="I146" s="17">
        <f>Описание!$B$9*G146*Описание!$B$7</f>
        <v/>
      </c>
    </row>
    <row r="147">
      <c r="A147" s="13" t="n">
        <v>38925</v>
      </c>
      <c r="B147" s="14" t="n">
        <v>1.2737</v>
      </c>
      <c r="C147" t="inlineStr">
        <is>
          <t>До</t>
        </is>
      </c>
      <c r="D147" s="15">
        <f>B147/B146-1</f>
        <v/>
      </c>
      <c r="E147" s="16">
        <f>LN(B147/B146)</f>
        <v/>
      </c>
      <c r="F147" s="15">
        <f>_xlfn.STDEV.S(OFFSET(D147,-Описание!$B$12,0,Описание!$B$12,1))</f>
        <v/>
      </c>
      <c r="G147" s="15">
        <f>SQRT(Описание!$B$13*G146^2+(1-Описание!$B$13)*D146^2)</f>
        <v/>
      </c>
      <c r="H147" s="17">
        <f>Описание!$B$9*F147*Описание!$B$7</f>
        <v/>
      </c>
      <c r="I147" s="17">
        <f>Описание!$B$9*G147*Описание!$B$7</f>
        <v/>
      </c>
    </row>
    <row r="148">
      <c r="A148" s="13" t="n">
        <v>38926</v>
      </c>
      <c r="B148" s="14" t="n">
        <v>1.2664</v>
      </c>
      <c r="C148" t="inlineStr">
        <is>
          <t>До</t>
        </is>
      </c>
      <c r="D148" s="15">
        <f>B148/B147-1</f>
        <v/>
      </c>
      <c r="E148" s="16">
        <f>LN(B148/B147)</f>
        <v/>
      </c>
      <c r="F148" s="15">
        <f>_xlfn.STDEV.S(OFFSET(D148,-Описание!$B$12,0,Описание!$B$12,1))</f>
        <v/>
      </c>
      <c r="G148" s="15">
        <f>SQRT(Описание!$B$13*G147^2+(1-Описание!$B$13)*D147^2)</f>
        <v/>
      </c>
      <c r="H148" s="17">
        <f>Описание!$B$9*F148*Описание!$B$7</f>
        <v/>
      </c>
      <c r="I148" s="17">
        <f>Описание!$B$9*G148*Описание!$B$7</f>
        <v/>
      </c>
    </row>
    <row r="149">
      <c r="A149" s="13" t="n">
        <v>38929</v>
      </c>
      <c r="B149" s="14" t="n">
        <v>1.2767</v>
      </c>
      <c r="C149" t="inlineStr">
        <is>
          <t>До</t>
        </is>
      </c>
      <c r="D149" s="15">
        <f>B149/B148-1</f>
        <v/>
      </c>
      <c r="E149" s="16">
        <f>LN(B149/B148)</f>
        <v/>
      </c>
      <c r="F149" s="15">
        <f>_xlfn.STDEV.S(OFFSET(D149,-Описание!$B$12,0,Описание!$B$12,1))</f>
        <v/>
      </c>
      <c r="G149" s="15">
        <f>SQRT(Описание!$B$13*G148^2+(1-Описание!$B$13)*D148^2)</f>
        <v/>
      </c>
      <c r="H149" s="17">
        <f>Описание!$B$9*F149*Описание!$B$7</f>
        <v/>
      </c>
      <c r="I149" s="17">
        <f>Описание!$B$9*G149*Описание!$B$7</f>
        <v/>
      </c>
    </row>
    <row r="150">
      <c r="A150" s="13" t="n">
        <v>38930</v>
      </c>
      <c r="B150" s="14" t="n">
        <v>1.2759</v>
      </c>
      <c r="C150" t="inlineStr">
        <is>
          <t>До</t>
        </is>
      </c>
      <c r="D150" s="15">
        <f>B150/B149-1</f>
        <v/>
      </c>
      <c r="E150" s="16">
        <f>LN(B150/B149)</f>
        <v/>
      </c>
      <c r="F150" s="15">
        <f>_xlfn.STDEV.S(OFFSET(D150,-Описание!$B$12,0,Описание!$B$12,1))</f>
        <v/>
      </c>
      <c r="G150" s="15">
        <f>SQRT(Описание!$B$13*G149^2+(1-Описание!$B$13)*D149^2)</f>
        <v/>
      </c>
      <c r="H150" s="17">
        <f>Описание!$B$9*F150*Описание!$B$7</f>
        <v/>
      </c>
      <c r="I150" s="17">
        <f>Описание!$B$9*G150*Описание!$B$7</f>
        <v/>
      </c>
    </row>
    <row r="151">
      <c r="A151" s="13" t="n">
        <v>38931</v>
      </c>
      <c r="B151" s="14" t="n">
        <v>1.2798</v>
      </c>
      <c r="C151" t="inlineStr">
        <is>
          <t>До</t>
        </is>
      </c>
      <c r="D151" s="15">
        <f>B151/B150-1</f>
        <v/>
      </c>
      <c r="E151" s="16">
        <f>LN(B151/B150)</f>
        <v/>
      </c>
      <c r="F151" s="15">
        <f>_xlfn.STDEV.S(OFFSET(D151,-Описание!$B$12,0,Описание!$B$12,1))</f>
        <v/>
      </c>
      <c r="G151" s="15">
        <f>SQRT(Описание!$B$13*G150^2+(1-Описание!$B$13)*D150^2)</f>
        <v/>
      </c>
      <c r="H151" s="17">
        <f>Описание!$B$9*F151*Описание!$B$7</f>
        <v/>
      </c>
      <c r="I151" s="17">
        <f>Описание!$B$9*G151*Описание!$B$7</f>
        <v/>
      </c>
    </row>
    <row r="152">
      <c r="A152" s="13" t="n">
        <v>38932</v>
      </c>
      <c r="B152" s="14" t="n">
        <v>1.2781</v>
      </c>
      <c r="C152" t="inlineStr">
        <is>
          <t>До</t>
        </is>
      </c>
      <c r="D152" s="15">
        <f>B152/B151-1</f>
        <v/>
      </c>
      <c r="E152" s="16">
        <f>LN(B152/B151)</f>
        <v/>
      </c>
      <c r="F152" s="15">
        <f>_xlfn.STDEV.S(OFFSET(D152,-Описание!$B$12,0,Описание!$B$12,1))</f>
        <v/>
      </c>
      <c r="G152" s="15">
        <f>SQRT(Описание!$B$13*G151^2+(1-Описание!$B$13)*D151^2)</f>
        <v/>
      </c>
      <c r="H152" s="17">
        <f>Описание!$B$9*F152*Описание!$B$7</f>
        <v/>
      </c>
      <c r="I152" s="17">
        <f>Описание!$B$9*G152*Описание!$B$7</f>
        <v/>
      </c>
    </row>
    <row r="153">
      <c r="A153" s="13" t="n">
        <v>38933</v>
      </c>
      <c r="B153" s="14" t="n">
        <v>1.2792</v>
      </c>
      <c r="C153" t="inlineStr">
        <is>
          <t>До</t>
        </is>
      </c>
      <c r="D153" s="15">
        <f>B153/B152-1</f>
        <v/>
      </c>
      <c r="E153" s="16">
        <f>LN(B153/B152)</f>
        <v/>
      </c>
      <c r="F153" s="15">
        <f>_xlfn.STDEV.S(OFFSET(D153,-Описание!$B$12,0,Описание!$B$12,1))</f>
        <v/>
      </c>
      <c r="G153" s="15">
        <f>SQRT(Описание!$B$13*G152^2+(1-Описание!$B$13)*D152^2)</f>
        <v/>
      </c>
      <c r="H153" s="17">
        <f>Описание!$B$9*F153*Описание!$B$7</f>
        <v/>
      </c>
      <c r="I153" s="17">
        <f>Описание!$B$9*G153*Описание!$B$7</f>
        <v/>
      </c>
    </row>
    <row r="154">
      <c r="A154" s="13" t="n">
        <v>38936</v>
      </c>
      <c r="B154" s="14" t="n">
        <v>1.285</v>
      </c>
      <c r="C154" t="inlineStr">
        <is>
          <t>До</t>
        </is>
      </c>
      <c r="D154" s="15">
        <f>B154/B153-1</f>
        <v/>
      </c>
      <c r="E154" s="16">
        <f>LN(B154/B153)</f>
        <v/>
      </c>
      <c r="F154" s="15">
        <f>_xlfn.STDEV.S(OFFSET(D154,-Описание!$B$12,0,Описание!$B$12,1))</f>
        <v/>
      </c>
      <c r="G154" s="15">
        <f>SQRT(Описание!$B$13*G153^2+(1-Описание!$B$13)*D153^2)</f>
        <v/>
      </c>
      <c r="H154" s="17">
        <f>Описание!$B$9*F154*Описание!$B$7</f>
        <v/>
      </c>
      <c r="I154" s="17">
        <f>Описание!$B$9*G154*Описание!$B$7</f>
        <v/>
      </c>
    </row>
    <row r="155">
      <c r="A155" s="13" t="n">
        <v>38937</v>
      </c>
      <c r="B155" s="14" t="n">
        <v>1.2839</v>
      </c>
      <c r="C155" t="inlineStr">
        <is>
          <t>До</t>
        </is>
      </c>
      <c r="D155" s="15">
        <f>B155/B154-1</f>
        <v/>
      </c>
      <c r="E155" s="16">
        <f>LN(B155/B154)</f>
        <v/>
      </c>
      <c r="F155" s="15">
        <f>_xlfn.STDEV.S(OFFSET(D155,-Описание!$B$12,0,Описание!$B$12,1))</f>
        <v/>
      </c>
      <c r="G155" s="15">
        <f>SQRT(Описание!$B$13*G154^2+(1-Описание!$B$13)*D154^2)</f>
        <v/>
      </c>
      <c r="H155" s="17">
        <f>Описание!$B$9*F155*Описание!$B$7</f>
        <v/>
      </c>
      <c r="I155" s="17">
        <f>Описание!$B$9*G155*Описание!$B$7</f>
        <v/>
      </c>
    </row>
    <row r="156">
      <c r="A156" s="13" t="n">
        <v>38938</v>
      </c>
      <c r="B156" s="14" t="n">
        <v>1.2879</v>
      </c>
      <c r="C156" t="inlineStr">
        <is>
          <t>До</t>
        </is>
      </c>
      <c r="D156" s="15">
        <f>B156/B155-1</f>
        <v/>
      </c>
      <c r="E156" s="16">
        <f>LN(B156/B155)</f>
        <v/>
      </c>
      <c r="F156" s="15">
        <f>_xlfn.STDEV.S(OFFSET(D156,-Описание!$B$12,0,Описание!$B$12,1))</f>
        <v/>
      </c>
      <c r="G156" s="15">
        <f>SQRT(Описание!$B$13*G155^2+(1-Описание!$B$13)*D155^2)</f>
        <v/>
      </c>
      <c r="H156" s="17">
        <f>Описание!$B$9*F156*Описание!$B$7</f>
        <v/>
      </c>
      <c r="I156" s="17">
        <f>Описание!$B$9*G156*Описание!$B$7</f>
        <v/>
      </c>
    </row>
    <row r="157">
      <c r="A157" s="13" t="n">
        <v>38939</v>
      </c>
      <c r="B157" s="14" t="n">
        <v>1.2857</v>
      </c>
      <c r="C157" t="inlineStr">
        <is>
          <t>До</t>
        </is>
      </c>
      <c r="D157" s="15">
        <f>B157/B156-1</f>
        <v/>
      </c>
      <c r="E157" s="16">
        <f>LN(B157/B156)</f>
        <v/>
      </c>
      <c r="F157" s="15">
        <f>_xlfn.STDEV.S(OFFSET(D157,-Описание!$B$12,0,Описание!$B$12,1))</f>
        <v/>
      </c>
      <c r="G157" s="15">
        <f>SQRT(Описание!$B$13*G156^2+(1-Описание!$B$13)*D156^2)</f>
        <v/>
      </c>
      <c r="H157" s="17">
        <f>Описание!$B$9*F157*Описание!$B$7</f>
        <v/>
      </c>
      <c r="I157" s="17">
        <f>Описание!$B$9*G157*Описание!$B$7</f>
        <v/>
      </c>
    </row>
    <row r="158">
      <c r="A158" s="13" t="n">
        <v>38940</v>
      </c>
      <c r="B158" s="14" t="n">
        <v>1.2775</v>
      </c>
      <c r="C158" t="inlineStr">
        <is>
          <t>До</t>
        </is>
      </c>
      <c r="D158" s="15">
        <f>B158/B157-1</f>
        <v/>
      </c>
      <c r="E158" s="16">
        <f>LN(B158/B157)</f>
        <v/>
      </c>
      <c r="F158" s="15">
        <f>_xlfn.STDEV.S(OFFSET(D158,-Описание!$B$12,0,Описание!$B$12,1))</f>
        <v/>
      </c>
      <c r="G158" s="15">
        <f>SQRT(Описание!$B$13*G157^2+(1-Описание!$B$13)*D157^2)</f>
        <v/>
      </c>
      <c r="H158" s="17">
        <f>Описание!$B$9*F158*Описание!$B$7</f>
        <v/>
      </c>
      <c r="I158" s="17">
        <f>Описание!$B$9*G158*Описание!$B$7</f>
        <v/>
      </c>
    </row>
    <row r="159">
      <c r="A159" s="13" t="n">
        <v>38943</v>
      </c>
      <c r="B159" s="14" t="n">
        <v>1.2718</v>
      </c>
      <c r="C159" t="inlineStr">
        <is>
          <t>До</t>
        </is>
      </c>
      <c r="D159" s="15">
        <f>B159/B158-1</f>
        <v/>
      </c>
      <c r="E159" s="16">
        <f>LN(B159/B158)</f>
        <v/>
      </c>
      <c r="F159" s="15">
        <f>_xlfn.STDEV.S(OFFSET(D159,-Описание!$B$12,0,Описание!$B$12,1))</f>
        <v/>
      </c>
      <c r="G159" s="15">
        <f>SQRT(Описание!$B$13*G158^2+(1-Описание!$B$13)*D158^2)</f>
        <v/>
      </c>
      <c r="H159" s="17">
        <f>Описание!$B$9*F159*Описание!$B$7</f>
        <v/>
      </c>
      <c r="I159" s="17">
        <f>Описание!$B$9*G159*Описание!$B$7</f>
        <v/>
      </c>
    </row>
    <row r="160">
      <c r="A160" s="13" t="n">
        <v>38944</v>
      </c>
      <c r="B160" s="14" t="n">
        <v>1.2725</v>
      </c>
      <c r="C160" t="inlineStr">
        <is>
          <t>До</t>
        </is>
      </c>
      <c r="D160" s="15">
        <f>B160/B159-1</f>
        <v/>
      </c>
      <c r="E160" s="16">
        <f>LN(B160/B159)</f>
        <v/>
      </c>
      <c r="F160" s="15">
        <f>_xlfn.STDEV.S(OFFSET(D160,-Описание!$B$12,0,Описание!$B$12,1))</f>
        <v/>
      </c>
      <c r="G160" s="15">
        <f>SQRT(Описание!$B$13*G159^2+(1-Описание!$B$13)*D159^2)</f>
        <v/>
      </c>
      <c r="H160" s="17">
        <f>Описание!$B$9*F160*Описание!$B$7</f>
        <v/>
      </c>
      <c r="I160" s="17">
        <f>Описание!$B$9*G160*Описание!$B$7</f>
        <v/>
      </c>
    </row>
    <row r="161">
      <c r="A161" s="13" t="n">
        <v>38945</v>
      </c>
      <c r="B161" s="14" t="n">
        <v>1.2793</v>
      </c>
      <c r="C161" t="inlineStr">
        <is>
          <t>До</t>
        </is>
      </c>
      <c r="D161" s="15">
        <f>B161/B160-1</f>
        <v/>
      </c>
      <c r="E161" s="16">
        <f>LN(B161/B160)</f>
        <v/>
      </c>
      <c r="F161" s="15">
        <f>_xlfn.STDEV.S(OFFSET(D161,-Описание!$B$12,0,Описание!$B$12,1))</f>
        <v/>
      </c>
      <c r="G161" s="15">
        <f>SQRT(Описание!$B$13*G160^2+(1-Описание!$B$13)*D160^2)</f>
        <v/>
      </c>
      <c r="H161" s="17">
        <f>Описание!$B$9*F161*Описание!$B$7</f>
        <v/>
      </c>
      <c r="I161" s="17">
        <f>Описание!$B$9*G161*Описание!$B$7</f>
        <v/>
      </c>
    </row>
    <row r="162">
      <c r="A162" s="13" t="n">
        <v>38946</v>
      </c>
      <c r="B162" s="14" t="n">
        <v>1.2879</v>
      </c>
      <c r="C162" t="inlineStr">
        <is>
          <t>До</t>
        </is>
      </c>
      <c r="D162" s="15">
        <f>B162/B161-1</f>
        <v/>
      </c>
      <c r="E162" s="16">
        <f>LN(B162/B161)</f>
        <v/>
      </c>
      <c r="F162" s="15">
        <f>_xlfn.STDEV.S(OFFSET(D162,-Описание!$B$12,0,Описание!$B$12,1))</f>
        <v/>
      </c>
      <c r="G162" s="15">
        <f>SQRT(Описание!$B$13*G161^2+(1-Описание!$B$13)*D161^2)</f>
        <v/>
      </c>
      <c r="H162" s="17">
        <f>Описание!$B$9*F162*Описание!$B$7</f>
        <v/>
      </c>
      <c r="I162" s="17">
        <f>Описание!$B$9*G162*Описание!$B$7</f>
        <v/>
      </c>
    </row>
    <row r="163">
      <c r="A163" s="13" t="n">
        <v>38947</v>
      </c>
      <c r="B163" s="14" t="n">
        <v>1.2802</v>
      </c>
      <c r="C163" t="inlineStr">
        <is>
          <t>До</t>
        </is>
      </c>
      <c r="D163" s="15">
        <f>B163/B162-1</f>
        <v/>
      </c>
      <c r="E163" s="16">
        <f>LN(B163/B162)</f>
        <v/>
      </c>
      <c r="F163" s="15">
        <f>_xlfn.STDEV.S(OFFSET(D163,-Описание!$B$12,0,Описание!$B$12,1))</f>
        <v/>
      </c>
      <c r="G163" s="15">
        <f>SQRT(Описание!$B$13*G162^2+(1-Описание!$B$13)*D162^2)</f>
        <v/>
      </c>
      <c r="H163" s="17">
        <f>Описание!$B$9*F163*Описание!$B$7</f>
        <v/>
      </c>
      <c r="I163" s="17">
        <f>Описание!$B$9*G163*Описание!$B$7</f>
        <v/>
      </c>
    </row>
    <row r="164">
      <c r="A164" s="13" t="n">
        <v>38950</v>
      </c>
      <c r="B164" s="14" t="n">
        <v>1.2919</v>
      </c>
      <c r="C164" t="inlineStr">
        <is>
          <t>До</t>
        </is>
      </c>
      <c r="D164" s="15">
        <f>B164/B163-1</f>
        <v/>
      </c>
      <c r="E164" s="16">
        <f>LN(B164/B163)</f>
        <v/>
      </c>
      <c r="F164" s="15">
        <f>_xlfn.STDEV.S(OFFSET(D164,-Описание!$B$12,0,Описание!$B$12,1))</f>
        <v/>
      </c>
      <c r="G164" s="15">
        <f>SQRT(Описание!$B$13*G163^2+(1-Описание!$B$13)*D163^2)</f>
        <v/>
      </c>
      <c r="H164" s="17">
        <f>Описание!$B$9*F164*Описание!$B$7</f>
        <v/>
      </c>
      <c r="I164" s="17">
        <f>Описание!$B$9*G164*Описание!$B$7</f>
        <v/>
      </c>
    </row>
    <row r="165">
      <c r="A165" s="13" t="n">
        <v>38951</v>
      </c>
      <c r="B165" s="14" t="n">
        <v>1.2812</v>
      </c>
      <c r="C165" t="inlineStr">
        <is>
          <t>До</t>
        </is>
      </c>
      <c r="D165" s="15">
        <f>B165/B164-1</f>
        <v/>
      </c>
      <c r="E165" s="16">
        <f>LN(B165/B164)</f>
        <v/>
      </c>
      <c r="F165" s="15">
        <f>_xlfn.STDEV.S(OFFSET(D165,-Описание!$B$12,0,Описание!$B$12,1))</f>
        <v/>
      </c>
      <c r="G165" s="15">
        <f>SQRT(Описание!$B$13*G164^2+(1-Описание!$B$13)*D164^2)</f>
        <v/>
      </c>
      <c r="H165" s="17">
        <f>Описание!$B$9*F165*Описание!$B$7</f>
        <v/>
      </c>
      <c r="I165" s="17">
        <f>Описание!$B$9*G165*Описание!$B$7</f>
        <v/>
      </c>
    </row>
    <row r="166">
      <c r="A166" s="13" t="n">
        <v>38952</v>
      </c>
      <c r="B166" s="14" t="n">
        <v>1.2812</v>
      </c>
      <c r="C166" t="inlineStr">
        <is>
          <t>До</t>
        </is>
      </c>
      <c r="D166" s="15">
        <f>B166/B165-1</f>
        <v/>
      </c>
      <c r="E166" s="16">
        <f>LN(B166/B165)</f>
        <v/>
      </c>
      <c r="F166" s="15">
        <f>_xlfn.STDEV.S(OFFSET(D166,-Описание!$B$12,0,Описание!$B$12,1))</f>
        <v/>
      </c>
      <c r="G166" s="15">
        <f>SQRT(Описание!$B$13*G165^2+(1-Описание!$B$13)*D165^2)</f>
        <v/>
      </c>
      <c r="H166" s="17">
        <f>Описание!$B$9*F166*Описание!$B$7</f>
        <v/>
      </c>
      <c r="I166" s="17">
        <f>Описание!$B$9*G166*Описание!$B$7</f>
        <v/>
      </c>
    </row>
    <row r="167">
      <c r="A167" s="13" t="n">
        <v>38953</v>
      </c>
      <c r="B167" s="14" t="n">
        <v>1.2831</v>
      </c>
      <c r="C167" t="inlineStr">
        <is>
          <t>До</t>
        </is>
      </c>
      <c r="D167" s="15">
        <f>B167/B166-1</f>
        <v/>
      </c>
      <c r="E167" s="16">
        <f>LN(B167/B166)</f>
        <v/>
      </c>
      <c r="F167" s="15">
        <f>_xlfn.STDEV.S(OFFSET(D167,-Описание!$B$12,0,Описание!$B$12,1))</f>
        <v/>
      </c>
      <c r="G167" s="15">
        <f>SQRT(Описание!$B$13*G166^2+(1-Описание!$B$13)*D166^2)</f>
        <v/>
      </c>
      <c r="H167" s="17">
        <f>Описание!$B$9*F167*Описание!$B$7</f>
        <v/>
      </c>
      <c r="I167" s="17">
        <f>Описание!$B$9*G167*Описание!$B$7</f>
        <v/>
      </c>
    </row>
    <row r="168">
      <c r="A168" s="13" t="n">
        <v>38954</v>
      </c>
      <c r="B168" s="14" t="n">
        <v>1.2762</v>
      </c>
      <c r="C168" t="inlineStr">
        <is>
          <t>До</t>
        </is>
      </c>
      <c r="D168" s="15">
        <f>B168/B167-1</f>
        <v/>
      </c>
      <c r="E168" s="16">
        <f>LN(B168/B167)</f>
        <v/>
      </c>
      <c r="F168" s="15">
        <f>_xlfn.STDEV.S(OFFSET(D168,-Описание!$B$12,0,Описание!$B$12,1))</f>
        <v/>
      </c>
      <c r="G168" s="15">
        <f>SQRT(Описание!$B$13*G167^2+(1-Описание!$B$13)*D167^2)</f>
        <v/>
      </c>
      <c r="H168" s="17">
        <f>Описание!$B$9*F168*Описание!$B$7</f>
        <v/>
      </c>
      <c r="I168" s="17">
        <f>Описание!$B$9*G168*Описание!$B$7</f>
        <v/>
      </c>
    </row>
    <row r="169">
      <c r="A169" s="13" t="n">
        <v>38957</v>
      </c>
      <c r="B169" s="14" t="n">
        <v>1.28</v>
      </c>
      <c r="C169" t="inlineStr">
        <is>
          <t>До</t>
        </is>
      </c>
      <c r="D169" s="15">
        <f>B169/B168-1</f>
        <v/>
      </c>
      <c r="E169" s="16">
        <f>LN(B169/B168)</f>
        <v/>
      </c>
      <c r="F169" s="15">
        <f>_xlfn.STDEV.S(OFFSET(D169,-Описание!$B$12,0,Описание!$B$12,1))</f>
        <v/>
      </c>
      <c r="G169" s="15">
        <f>SQRT(Описание!$B$13*G168^2+(1-Описание!$B$13)*D168^2)</f>
        <v/>
      </c>
      <c r="H169" s="17">
        <f>Описание!$B$9*F169*Описание!$B$7</f>
        <v/>
      </c>
      <c r="I169" s="17">
        <f>Описание!$B$9*G169*Описание!$B$7</f>
        <v/>
      </c>
    </row>
    <row r="170">
      <c r="A170" s="13" t="n">
        <v>38958</v>
      </c>
      <c r="B170" s="14" t="n">
        <v>1.2808</v>
      </c>
      <c r="C170" t="inlineStr">
        <is>
          <t>До</t>
        </is>
      </c>
      <c r="D170" s="15">
        <f>B170/B169-1</f>
        <v/>
      </c>
      <c r="E170" s="16">
        <f>LN(B170/B169)</f>
        <v/>
      </c>
      <c r="F170" s="15">
        <f>_xlfn.STDEV.S(OFFSET(D170,-Описание!$B$12,0,Описание!$B$12,1))</f>
        <v/>
      </c>
      <c r="G170" s="15">
        <f>SQRT(Описание!$B$13*G169^2+(1-Описание!$B$13)*D169^2)</f>
        <v/>
      </c>
      <c r="H170" s="17">
        <f>Описание!$B$9*F170*Описание!$B$7</f>
        <v/>
      </c>
      <c r="I170" s="17">
        <f>Описание!$B$9*G170*Описание!$B$7</f>
        <v/>
      </c>
    </row>
    <row r="171">
      <c r="A171" s="13" t="n">
        <v>38959</v>
      </c>
      <c r="B171" s="14" t="n">
        <v>1.2818</v>
      </c>
      <c r="C171" t="inlineStr">
        <is>
          <t>До</t>
        </is>
      </c>
      <c r="D171" s="15">
        <f>B171/B170-1</f>
        <v/>
      </c>
      <c r="E171" s="16">
        <f>LN(B171/B170)</f>
        <v/>
      </c>
      <c r="F171" s="15">
        <f>_xlfn.STDEV.S(OFFSET(D171,-Описание!$B$12,0,Описание!$B$12,1))</f>
        <v/>
      </c>
      <c r="G171" s="15">
        <f>SQRT(Описание!$B$13*G170^2+(1-Описание!$B$13)*D170^2)</f>
        <v/>
      </c>
      <c r="H171" s="17">
        <f>Описание!$B$9*F171*Описание!$B$7</f>
        <v/>
      </c>
      <c r="I171" s="17">
        <f>Описание!$B$9*G171*Описание!$B$7</f>
        <v/>
      </c>
    </row>
    <row r="172">
      <c r="A172" s="13" t="n">
        <v>38960</v>
      </c>
      <c r="B172" s="14" t="n">
        <v>1.2851</v>
      </c>
      <c r="C172" t="inlineStr">
        <is>
          <t>До</t>
        </is>
      </c>
      <c r="D172" s="15">
        <f>B172/B171-1</f>
        <v/>
      </c>
      <c r="E172" s="16">
        <f>LN(B172/B171)</f>
        <v/>
      </c>
      <c r="F172" s="15">
        <f>_xlfn.STDEV.S(OFFSET(D172,-Описание!$B$12,0,Описание!$B$12,1))</f>
        <v/>
      </c>
      <c r="G172" s="15">
        <f>SQRT(Описание!$B$13*G171^2+(1-Описание!$B$13)*D171^2)</f>
        <v/>
      </c>
      <c r="H172" s="17">
        <f>Описание!$B$9*F172*Описание!$B$7</f>
        <v/>
      </c>
      <c r="I172" s="17">
        <f>Описание!$B$9*G172*Описание!$B$7</f>
        <v/>
      </c>
    </row>
    <row r="173">
      <c r="A173" s="13" t="n">
        <v>38961</v>
      </c>
      <c r="B173" s="14" t="n">
        <v>1.2817</v>
      </c>
      <c r="C173" t="inlineStr">
        <is>
          <t>До</t>
        </is>
      </c>
      <c r="D173" s="15">
        <f>B173/B172-1</f>
        <v/>
      </c>
      <c r="E173" s="16">
        <f>LN(B173/B172)</f>
        <v/>
      </c>
      <c r="F173" s="15">
        <f>_xlfn.STDEV.S(OFFSET(D173,-Описание!$B$12,0,Описание!$B$12,1))</f>
        <v/>
      </c>
      <c r="G173" s="15">
        <f>SQRT(Описание!$B$13*G172^2+(1-Описание!$B$13)*D172^2)</f>
        <v/>
      </c>
      <c r="H173" s="17">
        <f>Описание!$B$9*F173*Описание!$B$7</f>
        <v/>
      </c>
      <c r="I173" s="17">
        <f>Описание!$B$9*G173*Описание!$B$7</f>
        <v/>
      </c>
    </row>
    <row r="174">
      <c r="A174" s="13" t="n">
        <v>38964</v>
      </c>
      <c r="B174" s="14" t="n">
        <v>1.2852</v>
      </c>
      <c r="C174" t="inlineStr">
        <is>
          <t>До</t>
        </is>
      </c>
      <c r="D174" s="15">
        <f>B174/B173-1</f>
        <v/>
      </c>
      <c r="E174" s="16">
        <f>LN(B174/B173)</f>
        <v/>
      </c>
      <c r="F174" s="15">
        <f>_xlfn.STDEV.S(OFFSET(D174,-Описание!$B$12,0,Описание!$B$12,1))</f>
        <v/>
      </c>
      <c r="G174" s="15">
        <f>SQRT(Описание!$B$13*G173^2+(1-Описание!$B$13)*D173^2)</f>
        <v/>
      </c>
      <c r="H174" s="17">
        <f>Описание!$B$9*F174*Описание!$B$7</f>
        <v/>
      </c>
      <c r="I174" s="17">
        <f>Описание!$B$9*G174*Описание!$B$7</f>
        <v/>
      </c>
    </row>
    <row r="175">
      <c r="A175" s="13" t="n">
        <v>38965</v>
      </c>
      <c r="B175" s="14" t="n">
        <v>1.281</v>
      </c>
      <c r="C175" t="inlineStr">
        <is>
          <t>До</t>
        </is>
      </c>
      <c r="D175" s="15">
        <f>B175/B174-1</f>
        <v/>
      </c>
      <c r="E175" s="16">
        <f>LN(B175/B174)</f>
        <v/>
      </c>
      <c r="F175" s="15">
        <f>_xlfn.STDEV.S(OFFSET(D175,-Описание!$B$12,0,Описание!$B$12,1))</f>
        <v/>
      </c>
      <c r="G175" s="15">
        <f>SQRT(Описание!$B$13*G174^2+(1-Описание!$B$13)*D174^2)</f>
        <v/>
      </c>
      <c r="H175" s="17">
        <f>Описание!$B$9*F175*Описание!$B$7</f>
        <v/>
      </c>
      <c r="I175" s="17">
        <f>Описание!$B$9*G175*Описание!$B$7</f>
        <v/>
      </c>
    </row>
    <row r="176">
      <c r="A176" s="13" t="n">
        <v>38966</v>
      </c>
      <c r="B176" s="14" t="n">
        <v>1.2793</v>
      </c>
      <c r="C176" t="inlineStr">
        <is>
          <t>До</t>
        </is>
      </c>
      <c r="D176" s="15">
        <f>B176/B175-1</f>
        <v/>
      </c>
      <c r="E176" s="16">
        <f>LN(B176/B175)</f>
        <v/>
      </c>
      <c r="F176" s="15">
        <f>_xlfn.STDEV.S(OFFSET(D176,-Описание!$B$12,0,Описание!$B$12,1))</f>
        <v/>
      </c>
      <c r="G176" s="15">
        <f>SQRT(Описание!$B$13*G175^2+(1-Описание!$B$13)*D175^2)</f>
        <v/>
      </c>
      <c r="H176" s="17">
        <f>Описание!$B$9*F176*Описание!$B$7</f>
        <v/>
      </c>
      <c r="I176" s="17">
        <f>Описание!$B$9*G176*Описание!$B$7</f>
        <v/>
      </c>
    </row>
    <row r="177">
      <c r="A177" s="13" t="n">
        <v>38967</v>
      </c>
      <c r="B177" s="14" t="n">
        <v>1.2731</v>
      </c>
      <c r="C177" t="inlineStr">
        <is>
          <t>До</t>
        </is>
      </c>
      <c r="D177" s="15">
        <f>B177/B176-1</f>
        <v/>
      </c>
      <c r="E177" s="16">
        <f>LN(B177/B176)</f>
        <v/>
      </c>
      <c r="F177" s="15">
        <f>_xlfn.STDEV.S(OFFSET(D177,-Описание!$B$12,0,Описание!$B$12,1))</f>
        <v/>
      </c>
      <c r="G177" s="15">
        <f>SQRT(Описание!$B$13*G176^2+(1-Описание!$B$13)*D176^2)</f>
        <v/>
      </c>
      <c r="H177" s="17">
        <f>Описание!$B$9*F177*Описание!$B$7</f>
        <v/>
      </c>
      <c r="I177" s="17">
        <f>Описание!$B$9*G177*Описание!$B$7</f>
        <v/>
      </c>
    </row>
    <row r="178">
      <c r="A178" s="13" t="n">
        <v>38968</v>
      </c>
      <c r="B178" s="14" t="n">
        <v>1.2713</v>
      </c>
      <c r="C178" t="inlineStr">
        <is>
          <t>До</t>
        </is>
      </c>
      <c r="D178" s="15">
        <f>B178/B177-1</f>
        <v/>
      </c>
      <c r="E178" s="16">
        <f>LN(B178/B177)</f>
        <v/>
      </c>
      <c r="F178" s="15">
        <f>_xlfn.STDEV.S(OFFSET(D178,-Описание!$B$12,0,Описание!$B$12,1))</f>
        <v/>
      </c>
      <c r="G178" s="15">
        <f>SQRT(Описание!$B$13*G177^2+(1-Описание!$B$13)*D177^2)</f>
        <v/>
      </c>
      <c r="H178" s="17">
        <f>Описание!$B$9*F178*Описание!$B$7</f>
        <v/>
      </c>
      <c r="I178" s="17">
        <f>Описание!$B$9*G178*Описание!$B$7</f>
        <v/>
      </c>
    </row>
    <row r="179">
      <c r="A179" s="13" t="n">
        <v>38971</v>
      </c>
      <c r="B179" s="14" t="n">
        <v>1.2713</v>
      </c>
      <c r="C179" t="inlineStr">
        <is>
          <t>До</t>
        </is>
      </c>
      <c r="D179" s="15">
        <f>B179/B178-1</f>
        <v/>
      </c>
      <c r="E179" s="16">
        <f>LN(B179/B178)</f>
        <v/>
      </c>
      <c r="F179" s="15">
        <f>_xlfn.STDEV.S(OFFSET(D179,-Описание!$B$12,0,Описание!$B$12,1))</f>
        <v/>
      </c>
      <c r="G179" s="15">
        <f>SQRT(Описание!$B$13*G178^2+(1-Описание!$B$13)*D178^2)</f>
        <v/>
      </c>
      <c r="H179" s="17">
        <f>Описание!$B$9*F179*Описание!$B$7</f>
        <v/>
      </c>
      <c r="I179" s="17">
        <f>Описание!$B$9*G179*Описание!$B$7</f>
        <v/>
      </c>
    </row>
    <row r="180">
      <c r="A180" s="13" t="n">
        <v>38972</v>
      </c>
      <c r="B180" s="14" t="n">
        <v>1.2709</v>
      </c>
      <c r="C180" t="inlineStr">
        <is>
          <t>До</t>
        </is>
      </c>
      <c r="D180" s="15">
        <f>B180/B179-1</f>
        <v/>
      </c>
      <c r="E180" s="16">
        <f>LN(B180/B179)</f>
        <v/>
      </c>
      <c r="F180" s="15">
        <f>_xlfn.STDEV.S(OFFSET(D180,-Описание!$B$12,0,Описание!$B$12,1))</f>
        <v/>
      </c>
      <c r="G180" s="15">
        <f>SQRT(Описание!$B$13*G179^2+(1-Описание!$B$13)*D179^2)</f>
        <v/>
      </c>
      <c r="H180" s="17">
        <f>Описание!$B$9*F180*Описание!$B$7</f>
        <v/>
      </c>
      <c r="I180" s="17">
        <f>Описание!$B$9*G180*Описание!$B$7</f>
        <v/>
      </c>
    </row>
    <row r="181">
      <c r="A181" s="13" t="n">
        <v>38973</v>
      </c>
      <c r="B181" s="14" t="n">
        <v>1.2677</v>
      </c>
      <c r="C181" t="inlineStr">
        <is>
          <t>До</t>
        </is>
      </c>
      <c r="D181" s="15">
        <f>B181/B180-1</f>
        <v/>
      </c>
      <c r="E181" s="16">
        <f>LN(B181/B180)</f>
        <v/>
      </c>
      <c r="F181" s="15">
        <f>_xlfn.STDEV.S(OFFSET(D181,-Описание!$B$12,0,Описание!$B$12,1))</f>
        <v/>
      </c>
      <c r="G181" s="15">
        <f>SQRT(Описание!$B$13*G180^2+(1-Описание!$B$13)*D180^2)</f>
        <v/>
      </c>
      <c r="H181" s="17">
        <f>Описание!$B$9*F181*Описание!$B$7</f>
        <v/>
      </c>
      <c r="I181" s="17">
        <f>Описание!$B$9*G181*Описание!$B$7</f>
        <v/>
      </c>
    </row>
    <row r="182">
      <c r="A182" s="13" t="n">
        <v>38974</v>
      </c>
      <c r="B182" s="14" t="n">
        <v>1.2723</v>
      </c>
      <c r="C182" t="inlineStr">
        <is>
          <t>До</t>
        </is>
      </c>
      <c r="D182" s="15">
        <f>B182/B181-1</f>
        <v/>
      </c>
      <c r="E182" s="16">
        <f>LN(B182/B181)</f>
        <v/>
      </c>
      <c r="F182" s="15">
        <f>_xlfn.STDEV.S(OFFSET(D182,-Описание!$B$12,0,Описание!$B$12,1))</f>
        <v/>
      </c>
      <c r="G182" s="15">
        <f>SQRT(Описание!$B$13*G181^2+(1-Описание!$B$13)*D181^2)</f>
        <v/>
      </c>
      <c r="H182" s="17">
        <f>Описание!$B$9*F182*Описание!$B$7</f>
        <v/>
      </c>
      <c r="I182" s="17">
        <f>Описание!$B$9*G182*Описание!$B$7</f>
        <v/>
      </c>
    </row>
    <row r="183">
      <c r="A183" s="13" t="n">
        <v>38975</v>
      </c>
      <c r="B183" s="14" t="n">
        <v>1.2675</v>
      </c>
      <c r="C183" t="inlineStr">
        <is>
          <t>До</t>
        </is>
      </c>
      <c r="D183" s="15">
        <f>B183/B182-1</f>
        <v/>
      </c>
      <c r="E183" s="16">
        <f>LN(B183/B182)</f>
        <v/>
      </c>
      <c r="F183" s="15">
        <f>_xlfn.STDEV.S(OFFSET(D183,-Описание!$B$12,0,Описание!$B$12,1))</f>
        <v/>
      </c>
      <c r="G183" s="15">
        <f>SQRT(Описание!$B$13*G182^2+(1-Описание!$B$13)*D182^2)</f>
        <v/>
      </c>
      <c r="H183" s="17">
        <f>Описание!$B$9*F183*Описание!$B$7</f>
        <v/>
      </c>
      <c r="I183" s="17">
        <f>Описание!$B$9*G183*Описание!$B$7</f>
        <v/>
      </c>
    </row>
    <row r="184">
      <c r="A184" s="13" t="n">
        <v>38978</v>
      </c>
      <c r="B184" s="14" t="n">
        <v>1.2665</v>
      </c>
      <c r="C184" t="inlineStr">
        <is>
          <t>До</t>
        </is>
      </c>
      <c r="D184" s="15">
        <f>B184/B183-1</f>
        <v/>
      </c>
      <c r="E184" s="16">
        <f>LN(B184/B183)</f>
        <v/>
      </c>
      <c r="F184" s="15">
        <f>_xlfn.STDEV.S(OFFSET(D184,-Описание!$B$12,0,Описание!$B$12,1))</f>
        <v/>
      </c>
      <c r="G184" s="15">
        <f>SQRT(Описание!$B$13*G183^2+(1-Описание!$B$13)*D183^2)</f>
        <v/>
      </c>
      <c r="H184" s="17">
        <f>Описание!$B$9*F184*Описание!$B$7</f>
        <v/>
      </c>
      <c r="I184" s="17">
        <f>Описание!$B$9*G184*Описание!$B$7</f>
        <v/>
      </c>
    </row>
    <row r="185">
      <c r="A185" s="13" t="n">
        <v>38979</v>
      </c>
      <c r="B185" s="14" t="n">
        <v>1.2654</v>
      </c>
      <c r="C185" t="inlineStr">
        <is>
          <t>До</t>
        </is>
      </c>
      <c r="D185" s="15">
        <f>B185/B184-1</f>
        <v/>
      </c>
      <c r="E185" s="16">
        <f>LN(B185/B184)</f>
        <v/>
      </c>
      <c r="F185" s="15">
        <f>_xlfn.STDEV.S(OFFSET(D185,-Описание!$B$12,0,Описание!$B$12,1))</f>
        <v/>
      </c>
      <c r="G185" s="15">
        <f>SQRT(Описание!$B$13*G184^2+(1-Описание!$B$13)*D184^2)</f>
        <v/>
      </c>
      <c r="H185" s="17">
        <f>Описание!$B$9*F185*Описание!$B$7</f>
        <v/>
      </c>
      <c r="I185" s="17">
        <f>Описание!$B$9*G185*Описание!$B$7</f>
        <v/>
      </c>
    </row>
    <row r="186">
      <c r="A186" s="13" t="n">
        <v>38980</v>
      </c>
      <c r="B186" s="14" t="n">
        <v>1.2676</v>
      </c>
      <c r="C186" t="inlineStr">
        <is>
          <t>До</t>
        </is>
      </c>
      <c r="D186" s="15">
        <f>B186/B185-1</f>
        <v/>
      </c>
      <c r="E186" s="16">
        <f>LN(B186/B185)</f>
        <v/>
      </c>
      <c r="F186" s="15">
        <f>_xlfn.STDEV.S(OFFSET(D186,-Описание!$B$12,0,Описание!$B$12,1))</f>
        <v/>
      </c>
      <c r="G186" s="15">
        <f>SQRT(Описание!$B$13*G185^2+(1-Описание!$B$13)*D185^2)</f>
        <v/>
      </c>
      <c r="H186" s="17">
        <f>Описание!$B$9*F186*Описание!$B$7</f>
        <v/>
      </c>
      <c r="I186" s="17">
        <f>Описание!$B$9*G186*Описание!$B$7</f>
        <v/>
      </c>
    </row>
    <row r="187">
      <c r="A187" s="13" t="n">
        <v>38981</v>
      </c>
      <c r="B187" s="14" t="n">
        <v>1.2731</v>
      </c>
      <c r="C187" t="inlineStr">
        <is>
          <t>До</t>
        </is>
      </c>
      <c r="D187" s="15">
        <f>B187/B186-1</f>
        <v/>
      </c>
      <c r="E187" s="16">
        <f>LN(B187/B186)</f>
        <v/>
      </c>
      <c r="F187" s="15">
        <f>_xlfn.STDEV.S(OFFSET(D187,-Описание!$B$12,0,Описание!$B$12,1))</f>
        <v/>
      </c>
      <c r="G187" s="15">
        <f>SQRT(Описание!$B$13*G186^2+(1-Описание!$B$13)*D186^2)</f>
        <v/>
      </c>
      <c r="H187" s="17">
        <f>Описание!$B$9*F187*Описание!$B$7</f>
        <v/>
      </c>
      <c r="I187" s="17">
        <f>Описание!$B$9*G187*Описание!$B$7</f>
        <v/>
      </c>
    </row>
    <row r="188">
      <c r="A188" s="13" t="n">
        <v>38982</v>
      </c>
      <c r="B188" s="14" t="n">
        <v>1.2817</v>
      </c>
      <c r="C188" t="inlineStr">
        <is>
          <t>До</t>
        </is>
      </c>
      <c r="D188" s="15">
        <f>B188/B187-1</f>
        <v/>
      </c>
      <c r="E188" s="16">
        <f>LN(B188/B187)</f>
        <v/>
      </c>
      <c r="F188" s="15">
        <f>_xlfn.STDEV.S(OFFSET(D188,-Описание!$B$12,0,Описание!$B$12,1))</f>
        <v/>
      </c>
      <c r="G188" s="15">
        <f>SQRT(Описание!$B$13*G187^2+(1-Описание!$B$13)*D187^2)</f>
        <v/>
      </c>
      <c r="H188" s="17">
        <f>Описание!$B$9*F188*Описание!$B$7</f>
        <v/>
      </c>
      <c r="I188" s="17">
        <f>Описание!$B$9*G188*Описание!$B$7</f>
        <v/>
      </c>
    </row>
    <row r="189">
      <c r="A189" s="13" t="n">
        <v>38985</v>
      </c>
      <c r="B189" s="14" t="n">
        <v>1.2768</v>
      </c>
      <c r="C189" t="inlineStr">
        <is>
          <t>До</t>
        </is>
      </c>
      <c r="D189" s="15">
        <f>B189/B188-1</f>
        <v/>
      </c>
      <c r="E189" s="16">
        <f>LN(B189/B188)</f>
        <v/>
      </c>
      <c r="F189" s="15">
        <f>_xlfn.STDEV.S(OFFSET(D189,-Описание!$B$12,0,Описание!$B$12,1))</f>
        <v/>
      </c>
      <c r="G189" s="15">
        <f>SQRT(Описание!$B$13*G188^2+(1-Описание!$B$13)*D188^2)</f>
        <v/>
      </c>
      <c r="H189" s="17">
        <f>Описание!$B$9*F189*Описание!$B$7</f>
        <v/>
      </c>
      <c r="I189" s="17">
        <f>Описание!$B$9*G189*Описание!$B$7</f>
        <v/>
      </c>
    </row>
    <row r="190">
      <c r="A190" s="13" t="n">
        <v>38986</v>
      </c>
      <c r="B190" s="14" t="n">
        <v>1.2695</v>
      </c>
      <c r="C190" t="inlineStr">
        <is>
          <t>До</t>
        </is>
      </c>
      <c r="D190" s="15">
        <f>B190/B189-1</f>
        <v/>
      </c>
      <c r="E190" s="16">
        <f>LN(B190/B189)</f>
        <v/>
      </c>
      <c r="F190" s="15">
        <f>_xlfn.STDEV.S(OFFSET(D190,-Описание!$B$12,0,Описание!$B$12,1))</f>
        <v/>
      </c>
      <c r="G190" s="15">
        <f>SQRT(Описание!$B$13*G189^2+(1-Описание!$B$13)*D189^2)</f>
        <v/>
      </c>
      <c r="H190" s="17">
        <f>Описание!$B$9*F190*Описание!$B$7</f>
        <v/>
      </c>
      <c r="I190" s="17">
        <f>Описание!$B$9*G190*Описание!$B$7</f>
        <v/>
      </c>
    </row>
    <row r="191">
      <c r="A191" s="13" t="n">
        <v>38987</v>
      </c>
      <c r="B191" s="14" t="n">
        <v>1.2684</v>
      </c>
      <c r="C191" t="inlineStr">
        <is>
          <t>До</t>
        </is>
      </c>
      <c r="D191" s="15">
        <f>B191/B190-1</f>
        <v/>
      </c>
      <c r="E191" s="16">
        <f>LN(B191/B190)</f>
        <v/>
      </c>
      <c r="F191" s="15">
        <f>_xlfn.STDEV.S(OFFSET(D191,-Описание!$B$12,0,Описание!$B$12,1))</f>
        <v/>
      </c>
      <c r="G191" s="15">
        <f>SQRT(Описание!$B$13*G190^2+(1-Описание!$B$13)*D190^2)</f>
        <v/>
      </c>
      <c r="H191" s="17">
        <f>Описание!$B$9*F191*Описание!$B$7</f>
        <v/>
      </c>
      <c r="I191" s="17">
        <f>Описание!$B$9*G191*Описание!$B$7</f>
        <v/>
      </c>
    </row>
    <row r="192">
      <c r="A192" s="13" t="n">
        <v>38988</v>
      </c>
      <c r="B192" s="14" t="n">
        <v>1.2713</v>
      </c>
      <c r="C192" t="inlineStr">
        <is>
          <t>До</t>
        </is>
      </c>
      <c r="D192" s="15">
        <f>B192/B191-1</f>
        <v/>
      </c>
      <c r="E192" s="16">
        <f>LN(B192/B191)</f>
        <v/>
      </c>
      <c r="F192" s="15">
        <f>_xlfn.STDEV.S(OFFSET(D192,-Описание!$B$12,0,Описание!$B$12,1))</f>
        <v/>
      </c>
      <c r="G192" s="15">
        <f>SQRT(Описание!$B$13*G191^2+(1-Описание!$B$13)*D191^2)</f>
        <v/>
      </c>
      <c r="H192" s="17">
        <f>Описание!$B$9*F192*Описание!$B$7</f>
        <v/>
      </c>
      <c r="I192" s="17">
        <f>Описание!$B$9*G192*Описание!$B$7</f>
        <v/>
      </c>
    </row>
    <row r="193">
      <c r="A193" s="13" t="n">
        <v>38989</v>
      </c>
      <c r="B193" s="14" t="n">
        <v>1.266</v>
      </c>
      <c r="C193" t="inlineStr">
        <is>
          <t>До</t>
        </is>
      </c>
      <c r="D193" s="15">
        <f>B193/B192-1</f>
        <v/>
      </c>
      <c r="E193" s="16">
        <f>LN(B193/B192)</f>
        <v/>
      </c>
      <c r="F193" s="15">
        <f>_xlfn.STDEV.S(OFFSET(D193,-Описание!$B$12,0,Описание!$B$12,1))</f>
        <v/>
      </c>
      <c r="G193" s="15">
        <f>SQRT(Описание!$B$13*G192^2+(1-Описание!$B$13)*D192^2)</f>
        <v/>
      </c>
      <c r="H193" s="17">
        <f>Описание!$B$9*F193*Описание!$B$7</f>
        <v/>
      </c>
      <c r="I193" s="17">
        <f>Описание!$B$9*G193*Описание!$B$7</f>
        <v/>
      </c>
    </row>
    <row r="194">
      <c r="A194" s="13" t="n">
        <v>38992</v>
      </c>
      <c r="B194" s="14" t="n">
        <v>1.2685</v>
      </c>
      <c r="C194" t="inlineStr">
        <is>
          <t>До</t>
        </is>
      </c>
      <c r="D194" s="15">
        <f>B194/B193-1</f>
        <v/>
      </c>
      <c r="E194" s="16">
        <f>LN(B194/B193)</f>
        <v/>
      </c>
      <c r="F194" s="15">
        <f>_xlfn.STDEV.S(OFFSET(D194,-Описание!$B$12,0,Описание!$B$12,1))</f>
        <v/>
      </c>
      <c r="G194" s="15">
        <f>SQRT(Описание!$B$13*G193^2+(1-Описание!$B$13)*D193^2)</f>
        <v/>
      </c>
      <c r="H194" s="17">
        <f>Описание!$B$9*F194*Описание!$B$7</f>
        <v/>
      </c>
      <c r="I194" s="17">
        <f>Описание!$B$9*G194*Описание!$B$7</f>
        <v/>
      </c>
    </row>
    <row r="195">
      <c r="A195" s="13" t="n">
        <v>38993</v>
      </c>
      <c r="B195" s="14" t="n">
        <v>1.2737</v>
      </c>
      <c r="C195" t="inlineStr">
        <is>
          <t>До</t>
        </is>
      </c>
      <c r="D195" s="15">
        <f>B195/B194-1</f>
        <v/>
      </c>
      <c r="E195" s="16">
        <f>LN(B195/B194)</f>
        <v/>
      </c>
      <c r="F195" s="15">
        <f>_xlfn.STDEV.S(OFFSET(D195,-Описание!$B$12,0,Описание!$B$12,1))</f>
        <v/>
      </c>
      <c r="G195" s="15">
        <f>SQRT(Описание!$B$13*G194^2+(1-Описание!$B$13)*D194^2)</f>
        <v/>
      </c>
      <c r="H195" s="17">
        <f>Описание!$B$9*F195*Описание!$B$7</f>
        <v/>
      </c>
      <c r="I195" s="17">
        <f>Описание!$B$9*G195*Описание!$B$7</f>
        <v/>
      </c>
    </row>
    <row r="196">
      <c r="A196" s="13" t="n">
        <v>38994</v>
      </c>
      <c r="B196" s="14" t="n">
        <v>1.2684</v>
      </c>
      <c r="C196" t="inlineStr">
        <is>
          <t>До</t>
        </is>
      </c>
      <c r="D196" s="15">
        <f>B196/B195-1</f>
        <v/>
      </c>
      <c r="E196" s="16">
        <f>LN(B196/B195)</f>
        <v/>
      </c>
      <c r="F196" s="15">
        <f>_xlfn.STDEV.S(OFFSET(D196,-Описание!$B$12,0,Описание!$B$12,1))</f>
        <v/>
      </c>
      <c r="G196" s="15">
        <f>SQRT(Описание!$B$13*G195^2+(1-Описание!$B$13)*D195^2)</f>
        <v/>
      </c>
      <c r="H196" s="17">
        <f>Описание!$B$9*F196*Описание!$B$7</f>
        <v/>
      </c>
      <c r="I196" s="17">
        <f>Описание!$B$9*G196*Описание!$B$7</f>
        <v/>
      </c>
    </row>
    <row r="197">
      <c r="A197" s="13" t="n">
        <v>38995</v>
      </c>
      <c r="B197" s="14" t="n">
        <v>1.2721</v>
      </c>
      <c r="C197" t="inlineStr">
        <is>
          <t>До</t>
        </is>
      </c>
      <c r="D197" s="15">
        <f>B197/B196-1</f>
        <v/>
      </c>
      <c r="E197" s="16">
        <f>LN(B197/B196)</f>
        <v/>
      </c>
      <c r="F197" s="15">
        <f>_xlfn.STDEV.S(OFFSET(D197,-Описание!$B$12,0,Описание!$B$12,1))</f>
        <v/>
      </c>
      <c r="G197" s="15">
        <f>SQRT(Описание!$B$13*G196^2+(1-Описание!$B$13)*D196^2)</f>
        <v/>
      </c>
      <c r="H197" s="17">
        <f>Описание!$B$9*F197*Описание!$B$7</f>
        <v/>
      </c>
      <c r="I197" s="17">
        <f>Описание!$B$9*G197*Описание!$B$7</f>
        <v/>
      </c>
    </row>
    <row r="198">
      <c r="A198" s="13" t="n">
        <v>38996</v>
      </c>
      <c r="B198" s="14" t="n">
        <v>1.2664</v>
      </c>
      <c r="C198" t="inlineStr">
        <is>
          <t>До</t>
        </is>
      </c>
      <c r="D198" s="15">
        <f>B198/B197-1</f>
        <v/>
      </c>
      <c r="E198" s="16">
        <f>LN(B198/B197)</f>
        <v/>
      </c>
      <c r="F198" s="15">
        <f>_xlfn.STDEV.S(OFFSET(D198,-Описание!$B$12,0,Описание!$B$12,1))</f>
        <v/>
      </c>
      <c r="G198" s="15">
        <f>SQRT(Описание!$B$13*G197^2+(1-Описание!$B$13)*D197^2)</f>
        <v/>
      </c>
      <c r="H198" s="17">
        <f>Описание!$B$9*F198*Описание!$B$7</f>
        <v/>
      </c>
      <c r="I198" s="17">
        <f>Описание!$B$9*G198*Описание!$B$7</f>
        <v/>
      </c>
    </row>
    <row r="199">
      <c r="A199" s="13" t="n">
        <v>38999</v>
      </c>
      <c r="B199" s="14" t="n">
        <v>1.2603</v>
      </c>
      <c r="C199" t="inlineStr">
        <is>
          <t>До</t>
        </is>
      </c>
      <c r="D199" s="15">
        <f>B199/B198-1</f>
        <v/>
      </c>
      <c r="E199" s="16">
        <f>LN(B199/B198)</f>
        <v/>
      </c>
      <c r="F199" s="15">
        <f>_xlfn.STDEV.S(OFFSET(D199,-Описание!$B$12,0,Описание!$B$12,1))</f>
        <v/>
      </c>
      <c r="G199" s="15">
        <f>SQRT(Описание!$B$13*G198^2+(1-Описание!$B$13)*D198^2)</f>
        <v/>
      </c>
      <c r="H199" s="17">
        <f>Описание!$B$9*F199*Описание!$B$7</f>
        <v/>
      </c>
      <c r="I199" s="17">
        <f>Описание!$B$9*G199*Описание!$B$7</f>
        <v/>
      </c>
    </row>
    <row r="200">
      <c r="A200" s="13" t="n">
        <v>39000</v>
      </c>
      <c r="B200" s="14" t="n">
        <v>1.2538</v>
      </c>
      <c r="C200" t="inlineStr">
        <is>
          <t>До</t>
        </is>
      </c>
      <c r="D200" s="15">
        <f>B200/B199-1</f>
        <v/>
      </c>
      <c r="E200" s="16">
        <f>LN(B200/B199)</f>
        <v/>
      </c>
      <c r="F200" s="15">
        <f>_xlfn.STDEV.S(OFFSET(D200,-Описание!$B$12,0,Описание!$B$12,1))</f>
        <v/>
      </c>
      <c r="G200" s="15">
        <f>SQRT(Описание!$B$13*G199^2+(1-Описание!$B$13)*D199^2)</f>
        <v/>
      </c>
      <c r="H200" s="17">
        <f>Описание!$B$9*F200*Описание!$B$7</f>
        <v/>
      </c>
      <c r="I200" s="17">
        <f>Описание!$B$9*G200*Описание!$B$7</f>
        <v/>
      </c>
    </row>
    <row r="201">
      <c r="A201" s="13" t="n">
        <v>39001</v>
      </c>
      <c r="B201" s="14" t="n">
        <v>1.2543</v>
      </c>
      <c r="C201" t="inlineStr">
        <is>
          <t>До</t>
        </is>
      </c>
      <c r="D201" s="15">
        <f>B201/B200-1</f>
        <v/>
      </c>
      <c r="E201" s="16">
        <f>LN(B201/B200)</f>
        <v/>
      </c>
      <c r="F201" s="15">
        <f>_xlfn.STDEV.S(OFFSET(D201,-Описание!$B$12,0,Описание!$B$12,1))</f>
        <v/>
      </c>
      <c r="G201" s="15">
        <f>SQRT(Описание!$B$13*G200^2+(1-Описание!$B$13)*D200^2)</f>
        <v/>
      </c>
      <c r="H201" s="17">
        <f>Описание!$B$9*F201*Описание!$B$7</f>
        <v/>
      </c>
      <c r="I201" s="17">
        <f>Описание!$B$9*G201*Описание!$B$7</f>
        <v/>
      </c>
    </row>
    <row r="202">
      <c r="A202" s="13" t="n">
        <v>39002</v>
      </c>
      <c r="B202" s="14" t="n">
        <v>1.2531</v>
      </c>
      <c r="C202" t="inlineStr">
        <is>
          <t>До</t>
        </is>
      </c>
      <c r="D202" s="15">
        <f>B202/B201-1</f>
        <v/>
      </c>
      <c r="E202" s="16">
        <f>LN(B202/B201)</f>
        <v/>
      </c>
      <c r="F202" s="15">
        <f>_xlfn.STDEV.S(OFFSET(D202,-Описание!$B$12,0,Описание!$B$12,1))</f>
        <v/>
      </c>
      <c r="G202" s="15">
        <f>SQRT(Описание!$B$13*G201^2+(1-Описание!$B$13)*D201^2)</f>
        <v/>
      </c>
      <c r="H202" s="17">
        <f>Описание!$B$9*F202*Описание!$B$7</f>
        <v/>
      </c>
      <c r="I202" s="17">
        <f>Описание!$B$9*G202*Описание!$B$7</f>
        <v/>
      </c>
    </row>
    <row r="203">
      <c r="A203" s="13" t="n">
        <v>39003</v>
      </c>
      <c r="B203" s="14" t="n">
        <v>1.255</v>
      </c>
      <c r="C203" t="inlineStr">
        <is>
          <t>До</t>
        </is>
      </c>
      <c r="D203" s="15">
        <f>B203/B202-1</f>
        <v/>
      </c>
      <c r="E203" s="16">
        <f>LN(B203/B202)</f>
        <v/>
      </c>
      <c r="F203" s="15">
        <f>_xlfn.STDEV.S(OFFSET(D203,-Описание!$B$12,0,Описание!$B$12,1))</f>
        <v/>
      </c>
      <c r="G203" s="15">
        <f>SQRT(Описание!$B$13*G202^2+(1-Описание!$B$13)*D202^2)</f>
        <v/>
      </c>
      <c r="H203" s="17">
        <f>Описание!$B$9*F203*Описание!$B$7</f>
        <v/>
      </c>
      <c r="I203" s="17">
        <f>Описание!$B$9*G203*Описание!$B$7</f>
        <v/>
      </c>
    </row>
    <row r="204">
      <c r="A204" s="13" t="n">
        <v>39006</v>
      </c>
      <c r="B204" s="14" t="n">
        <v>1.2515</v>
      </c>
      <c r="C204" t="inlineStr">
        <is>
          <t>До</t>
        </is>
      </c>
      <c r="D204" s="15">
        <f>B204/B203-1</f>
        <v/>
      </c>
      <c r="E204" s="16">
        <f>LN(B204/B203)</f>
        <v/>
      </c>
      <c r="F204" s="15">
        <f>_xlfn.STDEV.S(OFFSET(D204,-Описание!$B$12,0,Описание!$B$12,1))</f>
        <v/>
      </c>
      <c r="G204" s="15">
        <f>SQRT(Описание!$B$13*G203^2+(1-Описание!$B$13)*D203^2)</f>
        <v/>
      </c>
      <c r="H204" s="17">
        <f>Описание!$B$9*F204*Описание!$B$7</f>
        <v/>
      </c>
      <c r="I204" s="17">
        <f>Описание!$B$9*G204*Описание!$B$7</f>
        <v/>
      </c>
    </row>
    <row r="205">
      <c r="A205" s="13" t="n">
        <v>39007</v>
      </c>
      <c r="B205" s="14" t="n">
        <v>1.2524</v>
      </c>
      <c r="C205" t="inlineStr">
        <is>
          <t>До</t>
        </is>
      </c>
      <c r="D205" s="15">
        <f>B205/B204-1</f>
        <v/>
      </c>
      <c r="E205" s="16">
        <f>LN(B205/B204)</f>
        <v/>
      </c>
      <c r="F205" s="15">
        <f>_xlfn.STDEV.S(OFFSET(D205,-Описание!$B$12,0,Описание!$B$12,1))</f>
        <v/>
      </c>
      <c r="G205" s="15">
        <f>SQRT(Описание!$B$13*G204^2+(1-Описание!$B$13)*D204^2)</f>
        <v/>
      </c>
      <c r="H205" s="17">
        <f>Описание!$B$9*F205*Описание!$B$7</f>
        <v/>
      </c>
      <c r="I205" s="17">
        <f>Описание!$B$9*G205*Описание!$B$7</f>
        <v/>
      </c>
    </row>
    <row r="206">
      <c r="A206" s="13" t="n">
        <v>39008</v>
      </c>
      <c r="B206" s="14" t="n">
        <v>1.2543</v>
      </c>
      <c r="C206" t="inlineStr">
        <is>
          <t>До</t>
        </is>
      </c>
      <c r="D206" s="15">
        <f>B206/B205-1</f>
        <v/>
      </c>
      <c r="E206" s="16">
        <f>LN(B206/B205)</f>
        <v/>
      </c>
      <c r="F206" s="15">
        <f>_xlfn.STDEV.S(OFFSET(D206,-Описание!$B$12,0,Описание!$B$12,1))</f>
        <v/>
      </c>
      <c r="G206" s="15">
        <f>SQRT(Описание!$B$13*G205^2+(1-Описание!$B$13)*D205^2)</f>
        <v/>
      </c>
      <c r="H206" s="17">
        <f>Описание!$B$9*F206*Описание!$B$7</f>
        <v/>
      </c>
      <c r="I206" s="17">
        <f>Описание!$B$9*G206*Описание!$B$7</f>
        <v/>
      </c>
    </row>
    <row r="207">
      <c r="A207" s="13" t="n">
        <v>39009</v>
      </c>
      <c r="B207" s="14" t="n">
        <v>1.2561</v>
      </c>
      <c r="C207" t="inlineStr">
        <is>
          <t>До</t>
        </is>
      </c>
      <c r="D207" s="15">
        <f>B207/B206-1</f>
        <v/>
      </c>
      <c r="E207" s="16">
        <f>LN(B207/B206)</f>
        <v/>
      </c>
      <c r="F207" s="15">
        <f>_xlfn.STDEV.S(OFFSET(D207,-Описание!$B$12,0,Описание!$B$12,1))</f>
        <v/>
      </c>
      <c r="G207" s="15">
        <f>SQRT(Описание!$B$13*G206^2+(1-Описание!$B$13)*D206^2)</f>
        <v/>
      </c>
      <c r="H207" s="17">
        <f>Описание!$B$9*F207*Описание!$B$7</f>
        <v/>
      </c>
      <c r="I207" s="17">
        <f>Описание!$B$9*G207*Описание!$B$7</f>
        <v/>
      </c>
    </row>
    <row r="208">
      <c r="A208" s="13" t="n">
        <v>39010</v>
      </c>
      <c r="B208" s="14" t="n">
        <v>1.2618</v>
      </c>
      <c r="C208" t="inlineStr">
        <is>
          <t>До</t>
        </is>
      </c>
      <c r="D208" s="15">
        <f>B208/B207-1</f>
        <v/>
      </c>
      <c r="E208" s="16">
        <f>LN(B208/B207)</f>
        <v/>
      </c>
      <c r="F208" s="15">
        <f>_xlfn.STDEV.S(OFFSET(D208,-Описание!$B$12,0,Описание!$B$12,1))</f>
        <v/>
      </c>
      <c r="G208" s="15">
        <f>SQRT(Описание!$B$13*G207^2+(1-Описание!$B$13)*D207^2)</f>
        <v/>
      </c>
      <c r="H208" s="17">
        <f>Описание!$B$9*F208*Описание!$B$7</f>
        <v/>
      </c>
      <c r="I208" s="17">
        <f>Описание!$B$9*G208*Описание!$B$7</f>
        <v/>
      </c>
    </row>
    <row r="209">
      <c r="A209" s="13" t="n">
        <v>39013</v>
      </c>
      <c r="B209" s="14" t="n">
        <v>1.2556</v>
      </c>
      <c r="C209" t="inlineStr">
        <is>
          <t>До</t>
        </is>
      </c>
      <c r="D209" s="15">
        <f>B209/B208-1</f>
        <v/>
      </c>
      <c r="E209" s="16">
        <f>LN(B209/B208)</f>
        <v/>
      </c>
      <c r="F209" s="15">
        <f>_xlfn.STDEV.S(OFFSET(D209,-Описание!$B$12,0,Описание!$B$12,1))</f>
        <v/>
      </c>
      <c r="G209" s="15">
        <f>SQRT(Описание!$B$13*G208^2+(1-Описание!$B$13)*D208^2)</f>
        <v/>
      </c>
      <c r="H209" s="17">
        <f>Описание!$B$9*F209*Описание!$B$7</f>
        <v/>
      </c>
      <c r="I209" s="17">
        <f>Описание!$B$9*G209*Описание!$B$7</f>
        <v/>
      </c>
    </row>
    <row r="210">
      <c r="A210" s="13" t="n">
        <v>39014</v>
      </c>
      <c r="B210" s="14" t="n">
        <v>1.2541</v>
      </c>
      <c r="C210" t="inlineStr">
        <is>
          <t>До</t>
        </is>
      </c>
      <c r="D210" s="15">
        <f>B210/B209-1</f>
        <v/>
      </c>
      <c r="E210" s="16">
        <f>LN(B210/B209)</f>
        <v/>
      </c>
      <c r="F210" s="15">
        <f>_xlfn.STDEV.S(OFFSET(D210,-Описание!$B$12,0,Описание!$B$12,1))</f>
        <v/>
      </c>
      <c r="G210" s="15">
        <f>SQRT(Описание!$B$13*G209^2+(1-Описание!$B$13)*D209^2)</f>
        <v/>
      </c>
      <c r="H210" s="17">
        <f>Описание!$B$9*F210*Описание!$B$7</f>
        <v/>
      </c>
      <c r="I210" s="17">
        <f>Описание!$B$9*G210*Описание!$B$7</f>
        <v/>
      </c>
    </row>
    <row r="211">
      <c r="A211" s="13" t="n">
        <v>39015</v>
      </c>
      <c r="B211" s="14" t="n">
        <v>1.258</v>
      </c>
      <c r="C211" t="inlineStr">
        <is>
          <t>До</t>
        </is>
      </c>
      <c r="D211" s="15">
        <f>B211/B210-1</f>
        <v/>
      </c>
      <c r="E211" s="16">
        <f>LN(B211/B210)</f>
        <v/>
      </c>
      <c r="F211" s="15">
        <f>_xlfn.STDEV.S(OFFSET(D211,-Описание!$B$12,0,Описание!$B$12,1))</f>
        <v/>
      </c>
      <c r="G211" s="15">
        <f>SQRT(Описание!$B$13*G210^2+(1-Описание!$B$13)*D210^2)</f>
        <v/>
      </c>
      <c r="H211" s="17">
        <f>Описание!$B$9*F211*Описание!$B$7</f>
        <v/>
      </c>
      <c r="I211" s="17">
        <f>Описание!$B$9*G211*Описание!$B$7</f>
        <v/>
      </c>
    </row>
    <row r="212">
      <c r="A212" s="13" t="n">
        <v>39016</v>
      </c>
      <c r="B212" s="14" t="n">
        <v>1.2653</v>
      </c>
      <c r="C212" t="inlineStr">
        <is>
          <t>До</t>
        </is>
      </c>
      <c r="D212" s="15">
        <f>B212/B211-1</f>
        <v/>
      </c>
      <c r="E212" s="16">
        <f>LN(B212/B211)</f>
        <v/>
      </c>
      <c r="F212" s="15">
        <f>_xlfn.STDEV.S(OFFSET(D212,-Описание!$B$12,0,Описание!$B$12,1))</f>
        <v/>
      </c>
      <c r="G212" s="15">
        <f>SQRT(Описание!$B$13*G211^2+(1-Описание!$B$13)*D211^2)</f>
        <v/>
      </c>
      <c r="H212" s="17">
        <f>Описание!$B$9*F212*Описание!$B$7</f>
        <v/>
      </c>
      <c r="I212" s="17">
        <f>Описание!$B$9*G212*Описание!$B$7</f>
        <v/>
      </c>
    </row>
    <row r="213">
      <c r="A213" s="13" t="n">
        <v>39017</v>
      </c>
      <c r="B213" s="14" t="n">
        <v>1.2683</v>
      </c>
      <c r="C213" t="inlineStr">
        <is>
          <t>До</t>
        </is>
      </c>
      <c r="D213" s="15">
        <f>B213/B212-1</f>
        <v/>
      </c>
      <c r="E213" s="16">
        <f>LN(B213/B212)</f>
        <v/>
      </c>
      <c r="F213" s="15">
        <f>_xlfn.STDEV.S(OFFSET(D213,-Описание!$B$12,0,Описание!$B$12,1))</f>
        <v/>
      </c>
      <c r="G213" s="15">
        <f>SQRT(Описание!$B$13*G212^2+(1-Описание!$B$13)*D212^2)</f>
        <v/>
      </c>
      <c r="H213" s="17">
        <f>Описание!$B$9*F213*Описание!$B$7</f>
        <v/>
      </c>
      <c r="I213" s="17">
        <f>Описание!$B$9*G213*Описание!$B$7</f>
        <v/>
      </c>
    </row>
    <row r="214">
      <c r="A214" s="13" t="n">
        <v>39020</v>
      </c>
      <c r="B214" s="14" t="n">
        <v>1.2717</v>
      </c>
      <c r="C214" t="inlineStr">
        <is>
          <t>До</t>
        </is>
      </c>
      <c r="D214" s="15">
        <f>B214/B213-1</f>
        <v/>
      </c>
      <c r="E214" s="16">
        <f>LN(B214/B213)</f>
        <v/>
      </c>
      <c r="F214" s="15">
        <f>_xlfn.STDEV.S(OFFSET(D214,-Описание!$B$12,0,Описание!$B$12,1))</f>
        <v/>
      </c>
      <c r="G214" s="15">
        <f>SQRT(Описание!$B$13*G213^2+(1-Описание!$B$13)*D213^2)</f>
        <v/>
      </c>
      <c r="H214" s="17">
        <f>Описание!$B$9*F214*Описание!$B$7</f>
        <v/>
      </c>
      <c r="I214" s="17">
        <f>Описание!$B$9*G214*Описание!$B$7</f>
        <v/>
      </c>
    </row>
    <row r="215">
      <c r="A215" s="13" t="n">
        <v>39021</v>
      </c>
      <c r="B215" s="14" t="n">
        <v>1.2696</v>
      </c>
      <c r="C215" t="inlineStr">
        <is>
          <t>До</t>
        </is>
      </c>
      <c r="D215" s="15">
        <f>B215/B214-1</f>
        <v/>
      </c>
      <c r="E215" s="16">
        <f>LN(B215/B214)</f>
        <v/>
      </c>
      <c r="F215" s="15">
        <f>_xlfn.STDEV.S(OFFSET(D215,-Описание!$B$12,0,Описание!$B$12,1))</f>
        <v/>
      </c>
      <c r="G215" s="15">
        <f>SQRT(Описание!$B$13*G214^2+(1-Описание!$B$13)*D214^2)</f>
        <v/>
      </c>
      <c r="H215" s="17">
        <f>Описание!$B$9*F215*Описание!$B$7</f>
        <v/>
      </c>
      <c r="I215" s="17">
        <f>Описание!$B$9*G215*Описание!$B$7</f>
        <v/>
      </c>
    </row>
    <row r="216">
      <c r="A216" s="13" t="n">
        <v>39022</v>
      </c>
      <c r="B216" s="14" t="n">
        <v>1.2757</v>
      </c>
      <c r="C216" t="inlineStr">
        <is>
          <t>До</t>
        </is>
      </c>
      <c r="D216" s="15">
        <f>B216/B215-1</f>
        <v/>
      </c>
      <c r="E216" s="16">
        <f>LN(B216/B215)</f>
        <v/>
      </c>
      <c r="F216" s="15">
        <f>_xlfn.STDEV.S(OFFSET(D216,-Описание!$B$12,0,Описание!$B$12,1))</f>
        <v/>
      </c>
      <c r="G216" s="15">
        <f>SQRT(Описание!$B$13*G215^2+(1-Описание!$B$13)*D215^2)</f>
        <v/>
      </c>
      <c r="H216" s="17">
        <f>Описание!$B$9*F216*Описание!$B$7</f>
        <v/>
      </c>
      <c r="I216" s="17">
        <f>Описание!$B$9*G216*Описание!$B$7</f>
        <v/>
      </c>
    </row>
    <row r="217">
      <c r="A217" s="13" t="n">
        <v>39023</v>
      </c>
      <c r="B217" s="14" t="n">
        <v>1.2767</v>
      </c>
      <c r="C217" t="inlineStr">
        <is>
          <t>До</t>
        </is>
      </c>
      <c r="D217" s="15">
        <f>B217/B216-1</f>
        <v/>
      </c>
      <c r="E217" s="16">
        <f>LN(B217/B216)</f>
        <v/>
      </c>
      <c r="F217" s="15">
        <f>_xlfn.STDEV.S(OFFSET(D217,-Описание!$B$12,0,Описание!$B$12,1))</f>
        <v/>
      </c>
      <c r="G217" s="15">
        <f>SQRT(Описание!$B$13*G216^2+(1-Описание!$B$13)*D216^2)</f>
        <v/>
      </c>
      <c r="H217" s="17">
        <f>Описание!$B$9*F217*Описание!$B$7</f>
        <v/>
      </c>
      <c r="I217" s="17">
        <f>Описание!$B$9*G217*Описание!$B$7</f>
        <v/>
      </c>
    </row>
    <row r="218">
      <c r="A218" s="13" t="n">
        <v>39024</v>
      </c>
      <c r="B218" s="14" t="n">
        <v>1.276</v>
      </c>
      <c r="C218" t="inlineStr">
        <is>
          <t>До</t>
        </is>
      </c>
      <c r="D218" s="15">
        <f>B218/B217-1</f>
        <v/>
      </c>
      <c r="E218" s="16">
        <f>LN(B218/B217)</f>
        <v/>
      </c>
      <c r="F218" s="15">
        <f>_xlfn.STDEV.S(OFFSET(D218,-Описание!$B$12,0,Описание!$B$12,1))</f>
        <v/>
      </c>
      <c r="G218" s="15">
        <f>SQRT(Описание!$B$13*G217^2+(1-Описание!$B$13)*D217^2)</f>
        <v/>
      </c>
      <c r="H218" s="17">
        <f>Описание!$B$9*F218*Описание!$B$7</f>
        <v/>
      </c>
      <c r="I218" s="17">
        <f>Описание!$B$9*G218*Описание!$B$7</f>
        <v/>
      </c>
    </row>
    <row r="219">
      <c r="A219" s="13" t="n">
        <v>39027</v>
      </c>
      <c r="B219" s="14" t="n">
        <v>1.2702</v>
      </c>
      <c r="C219" t="inlineStr">
        <is>
          <t>До</t>
        </is>
      </c>
      <c r="D219" s="15">
        <f>B219/B218-1</f>
        <v/>
      </c>
      <c r="E219" s="16">
        <f>LN(B219/B218)</f>
        <v/>
      </c>
      <c r="F219" s="15">
        <f>_xlfn.STDEV.S(OFFSET(D219,-Описание!$B$12,0,Описание!$B$12,1))</f>
        <v/>
      </c>
      <c r="G219" s="15">
        <f>SQRT(Описание!$B$13*G218^2+(1-Описание!$B$13)*D218^2)</f>
        <v/>
      </c>
      <c r="H219" s="17">
        <f>Описание!$B$9*F219*Описание!$B$7</f>
        <v/>
      </c>
      <c r="I219" s="17">
        <f>Описание!$B$9*G219*Описание!$B$7</f>
        <v/>
      </c>
    </row>
    <row r="220">
      <c r="A220" s="13" t="n">
        <v>39028</v>
      </c>
      <c r="B220" s="14" t="n">
        <v>1.2755</v>
      </c>
      <c r="C220" t="inlineStr">
        <is>
          <t>До</t>
        </is>
      </c>
      <c r="D220" s="15">
        <f>B220/B219-1</f>
        <v/>
      </c>
      <c r="E220" s="16">
        <f>LN(B220/B219)</f>
        <v/>
      </c>
      <c r="F220" s="15">
        <f>_xlfn.STDEV.S(OFFSET(D220,-Описание!$B$12,0,Описание!$B$12,1))</f>
        <v/>
      </c>
      <c r="G220" s="15">
        <f>SQRT(Описание!$B$13*G219^2+(1-Описание!$B$13)*D219^2)</f>
        <v/>
      </c>
      <c r="H220" s="17">
        <f>Описание!$B$9*F220*Описание!$B$7</f>
        <v/>
      </c>
      <c r="I220" s="17">
        <f>Описание!$B$9*G220*Описание!$B$7</f>
        <v/>
      </c>
    </row>
    <row r="221">
      <c r="A221" s="13" t="n">
        <v>39029</v>
      </c>
      <c r="B221" s="14" t="n">
        <v>1.2776</v>
      </c>
      <c r="C221" t="inlineStr">
        <is>
          <t>До</t>
        </is>
      </c>
      <c r="D221" s="15">
        <f>B221/B220-1</f>
        <v/>
      </c>
      <c r="E221" s="16">
        <f>LN(B221/B220)</f>
        <v/>
      </c>
      <c r="F221" s="15">
        <f>_xlfn.STDEV.S(OFFSET(D221,-Описание!$B$12,0,Описание!$B$12,1))</f>
        <v/>
      </c>
      <c r="G221" s="15">
        <f>SQRT(Описание!$B$13*G220^2+(1-Описание!$B$13)*D220^2)</f>
        <v/>
      </c>
      <c r="H221" s="17">
        <f>Описание!$B$9*F221*Описание!$B$7</f>
        <v/>
      </c>
      <c r="I221" s="17">
        <f>Описание!$B$9*G221*Описание!$B$7</f>
        <v/>
      </c>
    </row>
    <row r="222">
      <c r="A222" s="13" t="n">
        <v>39030</v>
      </c>
      <c r="B222" s="14" t="n">
        <v>1.2796</v>
      </c>
      <c r="C222" t="inlineStr">
        <is>
          <t>До</t>
        </is>
      </c>
      <c r="D222" s="15">
        <f>B222/B221-1</f>
        <v/>
      </c>
      <c r="E222" s="16">
        <f>LN(B222/B221)</f>
        <v/>
      </c>
      <c r="F222" s="15">
        <f>_xlfn.STDEV.S(OFFSET(D222,-Описание!$B$12,0,Описание!$B$12,1))</f>
        <v/>
      </c>
      <c r="G222" s="15">
        <f>SQRT(Описание!$B$13*G221^2+(1-Описание!$B$13)*D221^2)</f>
        <v/>
      </c>
      <c r="H222" s="17">
        <f>Описание!$B$9*F222*Описание!$B$7</f>
        <v/>
      </c>
      <c r="I222" s="17">
        <f>Описание!$B$9*G222*Описание!$B$7</f>
        <v/>
      </c>
    </row>
    <row r="223">
      <c r="A223" s="13" t="n">
        <v>39031</v>
      </c>
      <c r="B223" s="14" t="n">
        <v>1.2864</v>
      </c>
      <c r="C223" t="inlineStr">
        <is>
          <t>До</t>
        </is>
      </c>
      <c r="D223" s="15">
        <f>B223/B222-1</f>
        <v/>
      </c>
      <c r="E223" s="16">
        <f>LN(B223/B222)</f>
        <v/>
      </c>
      <c r="F223" s="15">
        <f>_xlfn.STDEV.S(OFFSET(D223,-Описание!$B$12,0,Описание!$B$12,1))</f>
        <v/>
      </c>
      <c r="G223" s="15">
        <f>SQRT(Описание!$B$13*G222^2+(1-Описание!$B$13)*D222^2)</f>
        <v/>
      </c>
      <c r="H223" s="17">
        <f>Описание!$B$9*F223*Описание!$B$7</f>
        <v/>
      </c>
      <c r="I223" s="17">
        <f>Описание!$B$9*G223*Описание!$B$7</f>
        <v/>
      </c>
    </row>
    <row r="224">
      <c r="A224" s="13" t="n">
        <v>39034</v>
      </c>
      <c r="B224" s="14" t="n">
        <v>1.283</v>
      </c>
      <c r="C224" t="inlineStr">
        <is>
          <t>До</t>
        </is>
      </c>
      <c r="D224" s="15">
        <f>B224/B223-1</f>
        <v/>
      </c>
      <c r="E224" s="16">
        <f>LN(B224/B223)</f>
        <v/>
      </c>
      <c r="F224" s="15">
        <f>_xlfn.STDEV.S(OFFSET(D224,-Описание!$B$12,0,Описание!$B$12,1))</f>
        <v/>
      </c>
      <c r="G224" s="15">
        <f>SQRT(Описание!$B$13*G223^2+(1-Описание!$B$13)*D223^2)</f>
        <v/>
      </c>
      <c r="H224" s="17">
        <f>Описание!$B$9*F224*Описание!$B$7</f>
        <v/>
      </c>
      <c r="I224" s="17">
        <f>Описание!$B$9*G224*Описание!$B$7</f>
        <v/>
      </c>
    </row>
    <row r="225">
      <c r="A225" s="13" t="n">
        <v>39035</v>
      </c>
      <c r="B225" s="14" t="n">
        <v>1.2824</v>
      </c>
      <c r="C225" t="inlineStr">
        <is>
          <t>До</t>
        </is>
      </c>
      <c r="D225" s="15">
        <f>B225/B224-1</f>
        <v/>
      </c>
      <c r="E225" s="16">
        <f>LN(B225/B224)</f>
        <v/>
      </c>
      <c r="F225" s="15">
        <f>_xlfn.STDEV.S(OFFSET(D225,-Описание!$B$12,0,Описание!$B$12,1))</f>
        <v/>
      </c>
      <c r="G225" s="15">
        <f>SQRT(Описание!$B$13*G224^2+(1-Описание!$B$13)*D224^2)</f>
        <v/>
      </c>
      <c r="H225" s="17">
        <f>Описание!$B$9*F225*Описание!$B$7</f>
        <v/>
      </c>
      <c r="I225" s="17">
        <f>Описание!$B$9*G225*Описание!$B$7</f>
        <v/>
      </c>
    </row>
    <row r="226">
      <c r="A226" s="13" t="n">
        <v>39036</v>
      </c>
      <c r="B226" s="14" t="n">
        <v>1.2792</v>
      </c>
      <c r="C226" t="inlineStr">
        <is>
          <t>До</t>
        </is>
      </c>
      <c r="D226" s="15">
        <f>B226/B225-1</f>
        <v/>
      </c>
      <c r="E226" s="16">
        <f>LN(B226/B225)</f>
        <v/>
      </c>
      <c r="F226" s="15">
        <f>_xlfn.STDEV.S(OFFSET(D226,-Описание!$B$12,0,Описание!$B$12,1))</f>
        <v/>
      </c>
      <c r="G226" s="15">
        <f>SQRT(Описание!$B$13*G225^2+(1-Описание!$B$13)*D225^2)</f>
        <v/>
      </c>
      <c r="H226" s="17">
        <f>Описание!$B$9*F226*Описание!$B$7</f>
        <v/>
      </c>
      <c r="I226" s="17">
        <f>Описание!$B$9*G226*Описание!$B$7</f>
        <v/>
      </c>
    </row>
    <row r="227">
      <c r="A227" s="13" t="n">
        <v>39037</v>
      </c>
      <c r="B227" s="14" t="n">
        <v>1.2804</v>
      </c>
      <c r="C227" t="inlineStr">
        <is>
          <t>До</t>
        </is>
      </c>
      <c r="D227" s="15">
        <f>B227/B226-1</f>
        <v/>
      </c>
      <c r="E227" s="16">
        <f>LN(B227/B226)</f>
        <v/>
      </c>
      <c r="F227" s="15">
        <f>_xlfn.STDEV.S(OFFSET(D227,-Описание!$B$12,0,Описание!$B$12,1))</f>
        <v/>
      </c>
      <c r="G227" s="15">
        <f>SQRT(Описание!$B$13*G226^2+(1-Описание!$B$13)*D226^2)</f>
        <v/>
      </c>
      <c r="H227" s="17">
        <f>Описание!$B$9*F227*Описание!$B$7</f>
        <v/>
      </c>
      <c r="I227" s="17">
        <f>Описание!$B$9*G227*Описание!$B$7</f>
        <v/>
      </c>
    </row>
    <row r="228">
      <c r="A228" s="13" t="n">
        <v>39038</v>
      </c>
      <c r="B228" s="14" t="n">
        <v>1.2774</v>
      </c>
      <c r="C228" t="inlineStr">
        <is>
          <t>До</t>
        </is>
      </c>
      <c r="D228" s="15">
        <f>B228/B227-1</f>
        <v/>
      </c>
      <c r="E228" s="16">
        <f>LN(B228/B227)</f>
        <v/>
      </c>
      <c r="F228" s="15">
        <f>_xlfn.STDEV.S(OFFSET(D228,-Описание!$B$12,0,Описание!$B$12,1))</f>
        <v/>
      </c>
      <c r="G228" s="15">
        <f>SQRT(Описание!$B$13*G227^2+(1-Описание!$B$13)*D227^2)</f>
        <v/>
      </c>
      <c r="H228" s="17">
        <f>Описание!$B$9*F228*Описание!$B$7</f>
        <v/>
      </c>
      <c r="I228" s="17">
        <f>Описание!$B$9*G228*Описание!$B$7</f>
        <v/>
      </c>
    </row>
    <row r="229">
      <c r="A229" s="13" t="n">
        <v>39041</v>
      </c>
      <c r="B229" s="14" t="n">
        <v>1.2841</v>
      </c>
      <c r="C229" t="inlineStr">
        <is>
          <t>До</t>
        </is>
      </c>
      <c r="D229" s="15">
        <f>B229/B228-1</f>
        <v/>
      </c>
      <c r="E229" s="16">
        <f>LN(B229/B228)</f>
        <v/>
      </c>
      <c r="F229" s="15">
        <f>_xlfn.STDEV.S(OFFSET(D229,-Описание!$B$12,0,Описание!$B$12,1))</f>
        <v/>
      </c>
      <c r="G229" s="15">
        <f>SQRT(Описание!$B$13*G228^2+(1-Описание!$B$13)*D228^2)</f>
        <v/>
      </c>
      <c r="H229" s="17">
        <f>Описание!$B$9*F229*Описание!$B$7</f>
        <v/>
      </c>
      <c r="I229" s="17">
        <f>Описание!$B$9*G229*Описание!$B$7</f>
        <v/>
      </c>
    </row>
    <row r="230">
      <c r="A230" s="13" t="n">
        <v>39042</v>
      </c>
      <c r="B230" s="14" t="n">
        <v>1.2814</v>
      </c>
      <c r="C230" t="inlineStr">
        <is>
          <t>До</t>
        </is>
      </c>
      <c r="D230" s="15">
        <f>B230/B229-1</f>
        <v/>
      </c>
      <c r="E230" s="16">
        <f>LN(B230/B229)</f>
        <v/>
      </c>
      <c r="F230" s="15">
        <f>_xlfn.STDEV.S(OFFSET(D230,-Описание!$B$12,0,Описание!$B$12,1))</f>
        <v/>
      </c>
      <c r="G230" s="15">
        <f>SQRT(Описание!$B$13*G229^2+(1-Описание!$B$13)*D229^2)</f>
        <v/>
      </c>
      <c r="H230" s="17">
        <f>Описание!$B$9*F230*Описание!$B$7</f>
        <v/>
      </c>
      <c r="I230" s="17">
        <f>Описание!$B$9*G230*Описание!$B$7</f>
        <v/>
      </c>
    </row>
    <row r="231">
      <c r="A231" s="13" t="n">
        <v>39043</v>
      </c>
      <c r="B231" s="14" t="n">
        <v>1.2886</v>
      </c>
      <c r="C231" t="inlineStr">
        <is>
          <t>До</t>
        </is>
      </c>
      <c r="D231" s="15">
        <f>B231/B230-1</f>
        <v/>
      </c>
      <c r="E231" s="16">
        <f>LN(B231/B230)</f>
        <v/>
      </c>
      <c r="F231" s="15">
        <f>_xlfn.STDEV.S(OFFSET(D231,-Описание!$B$12,0,Описание!$B$12,1))</f>
        <v/>
      </c>
      <c r="G231" s="15">
        <f>SQRT(Описание!$B$13*G230^2+(1-Описание!$B$13)*D230^2)</f>
        <v/>
      </c>
      <c r="H231" s="17">
        <f>Описание!$B$9*F231*Описание!$B$7</f>
        <v/>
      </c>
      <c r="I231" s="17">
        <f>Описание!$B$9*G231*Описание!$B$7</f>
        <v/>
      </c>
    </row>
    <row r="232">
      <c r="A232" s="13" t="n">
        <v>39044</v>
      </c>
      <c r="B232" s="14" t="n">
        <v>1.2953</v>
      </c>
      <c r="C232" t="inlineStr">
        <is>
          <t>До</t>
        </is>
      </c>
      <c r="D232" s="15">
        <f>B232/B231-1</f>
        <v/>
      </c>
      <c r="E232" s="16">
        <f>LN(B232/B231)</f>
        <v/>
      </c>
      <c r="F232" s="15">
        <f>_xlfn.STDEV.S(OFFSET(D232,-Описание!$B$12,0,Описание!$B$12,1))</f>
        <v/>
      </c>
      <c r="G232" s="15">
        <f>SQRT(Описание!$B$13*G231^2+(1-Описание!$B$13)*D231^2)</f>
        <v/>
      </c>
      <c r="H232" s="17">
        <f>Описание!$B$9*F232*Описание!$B$7</f>
        <v/>
      </c>
      <c r="I232" s="17">
        <f>Описание!$B$9*G232*Описание!$B$7</f>
        <v/>
      </c>
    </row>
    <row r="233">
      <c r="A233" s="13" t="n">
        <v>39045</v>
      </c>
      <c r="B233" s="14" t="n">
        <v>1.3078</v>
      </c>
      <c r="C233" t="inlineStr">
        <is>
          <t>До</t>
        </is>
      </c>
      <c r="D233" s="15">
        <f>B233/B232-1</f>
        <v/>
      </c>
      <c r="E233" s="16">
        <f>LN(B233/B232)</f>
        <v/>
      </c>
      <c r="F233" s="15">
        <f>_xlfn.STDEV.S(OFFSET(D233,-Описание!$B$12,0,Описание!$B$12,1))</f>
        <v/>
      </c>
      <c r="G233" s="15">
        <f>SQRT(Описание!$B$13*G232^2+(1-Описание!$B$13)*D232^2)</f>
        <v/>
      </c>
      <c r="H233" s="17">
        <f>Описание!$B$9*F233*Описание!$B$7</f>
        <v/>
      </c>
      <c r="I233" s="17">
        <f>Описание!$B$9*G233*Описание!$B$7</f>
        <v/>
      </c>
    </row>
    <row r="234">
      <c r="A234" s="13" t="n">
        <v>39048</v>
      </c>
      <c r="B234" s="14" t="n">
        <v>1.3114</v>
      </c>
      <c r="C234" t="inlineStr">
        <is>
          <t>До</t>
        </is>
      </c>
      <c r="D234" s="15">
        <f>B234/B233-1</f>
        <v/>
      </c>
      <c r="E234" s="16">
        <f>LN(B234/B233)</f>
        <v/>
      </c>
      <c r="F234" s="15">
        <f>_xlfn.STDEV.S(OFFSET(D234,-Описание!$B$12,0,Описание!$B$12,1))</f>
        <v/>
      </c>
      <c r="G234" s="15">
        <f>SQRT(Описание!$B$13*G233^2+(1-Описание!$B$13)*D233^2)</f>
        <v/>
      </c>
      <c r="H234" s="17">
        <f>Описание!$B$9*F234*Описание!$B$7</f>
        <v/>
      </c>
      <c r="I234" s="17">
        <f>Описание!$B$9*G234*Описание!$B$7</f>
        <v/>
      </c>
    </row>
    <row r="235">
      <c r="A235" s="13" t="n">
        <v>39049</v>
      </c>
      <c r="B235" s="14" t="n">
        <v>1.3147</v>
      </c>
      <c r="C235" t="inlineStr">
        <is>
          <t>До</t>
        </is>
      </c>
      <c r="D235" s="15">
        <f>B235/B234-1</f>
        <v/>
      </c>
      <c r="E235" s="16">
        <f>LN(B235/B234)</f>
        <v/>
      </c>
      <c r="F235" s="15">
        <f>_xlfn.STDEV.S(OFFSET(D235,-Описание!$B$12,0,Описание!$B$12,1))</f>
        <v/>
      </c>
      <c r="G235" s="15">
        <f>SQRT(Описание!$B$13*G234^2+(1-Описание!$B$13)*D234^2)</f>
        <v/>
      </c>
      <c r="H235" s="17">
        <f>Описание!$B$9*F235*Описание!$B$7</f>
        <v/>
      </c>
      <c r="I235" s="17">
        <f>Описание!$B$9*G235*Описание!$B$7</f>
        <v/>
      </c>
    </row>
    <row r="236">
      <c r="A236" s="13" t="n">
        <v>39050</v>
      </c>
      <c r="B236" s="14" t="n">
        <v>1.3157</v>
      </c>
      <c r="C236" t="inlineStr">
        <is>
          <t>До</t>
        </is>
      </c>
      <c r="D236" s="15">
        <f>B236/B235-1</f>
        <v/>
      </c>
      <c r="E236" s="16">
        <f>LN(B236/B235)</f>
        <v/>
      </c>
      <c r="F236" s="15">
        <f>_xlfn.STDEV.S(OFFSET(D236,-Описание!$B$12,0,Описание!$B$12,1))</f>
        <v/>
      </c>
      <c r="G236" s="15">
        <f>SQRT(Описание!$B$13*G235^2+(1-Описание!$B$13)*D235^2)</f>
        <v/>
      </c>
      <c r="H236" s="17">
        <f>Описание!$B$9*F236*Описание!$B$7</f>
        <v/>
      </c>
      <c r="I236" s="17">
        <f>Описание!$B$9*G236*Описание!$B$7</f>
        <v/>
      </c>
    </row>
    <row r="237">
      <c r="A237" s="13" t="n">
        <v>39051</v>
      </c>
      <c r="B237" s="14" t="n">
        <v>1.32</v>
      </c>
      <c r="C237" t="inlineStr">
        <is>
          <t>До</t>
        </is>
      </c>
      <c r="D237" s="15">
        <f>B237/B236-1</f>
        <v/>
      </c>
      <c r="E237" s="16">
        <f>LN(B237/B236)</f>
        <v/>
      </c>
      <c r="F237" s="15">
        <f>_xlfn.STDEV.S(OFFSET(D237,-Описание!$B$12,0,Описание!$B$12,1))</f>
        <v/>
      </c>
      <c r="G237" s="15">
        <f>SQRT(Описание!$B$13*G236^2+(1-Описание!$B$13)*D236^2)</f>
        <v/>
      </c>
      <c r="H237" s="17">
        <f>Описание!$B$9*F237*Описание!$B$7</f>
        <v/>
      </c>
      <c r="I237" s="17">
        <f>Описание!$B$9*G237*Описание!$B$7</f>
        <v/>
      </c>
    </row>
    <row r="238">
      <c r="A238" s="13" t="n">
        <v>39052</v>
      </c>
      <c r="B238" s="14" t="n">
        <v>1.3244</v>
      </c>
      <c r="C238" t="inlineStr">
        <is>
          <t>До</t>
        </is>
      </c>
      <c r="D238" s="15">
        <f>B238/B237-1</f>
        <v/>
      </c>
      <c r="E238" s="16">
        <f>LN(B238/B237)</f>
        <v/>
      </c>
      <c r="F238" s="15">
        <f>_xlfn.STDEV.S(OFFSET(D238,-Описание!$B$12,0,Описание!$B$12,1))</f>
        <v/>
      </c>
      <c r="G238" s="15">
        <f>SQRT(Описание!$B$13*G237^2+(1-Описание!$B$13)*D237^2)</f>
        <v/>
      </c>
      <c r="H238" s="17">
        <f>Описание!$B$9*F238*Описание!$B$7</f>
        <v/>
      </c>
      <c r="I238" s="17">
        <f>Описание!$B$9*G238*Описание!$B$7</f>
        <v/>
      </c>
    </row>
    <row r="239">
      <c r="A239" s="13" t="n">
        <v>39055</v>
      </c>
      <c r="B239" s="14" t="n">
        <v>1.3309</v>
      </c>
      <c r="C239" t="inlineStr">
        <is>
          <t>До</t>
        </is>
      </c>
      <c r="D239" s="15">
        <f>B239/B238-1</f>
        <v/>
      </c>
      <c r="E239" s="16">
        <f>LN(B239/B238)</f>
        <v/>
      </c>
      <c r="F239" s="15">
        <f>_xlfn.STDEV.S(OFFSET(D239,-Описание!$B$12,0,Описание!$B$12,1))</f>
        <v/>
      </c>
      <c r="G239" s="15">
        <f>SQRT(Описание!$B$13*G238^2+(1-Описание!$B$13)*D238^2)</f>
        <v/>
      </c>
      <c r="H239" s="17">
        <f>Описание!$B$9*F239*Описание!$B$7</f>
        <v/>
      </c>
      <c r="I239" s="17">
        <f>Описание!$B$9*G239*Описание!$B$7</f>
        <v/>
      </c>
    </row>
    <row r="240">
      <c r="A240" s="13" t="n">
        <v>39056</v>
      </c>
      <c r="B240" s="14" t="n">
        <v>1.3331</v>
      </c>
      <c r="C240" t="inlineStr">
        <is>
          <t>До</t>
        </is>
      </c>
      <c r="D240" s="15">
        <f>B240/B239-1</f>
        <v/>
      </c>
      <c r="E240" s="16">
        <f>LN(B240/B239)</f>
        <v/>
      </c>
      <c r="F240" s="15">
        <f>_xlfn.STDEV.S(OFFSET(D240,-Описание!$B$12,0,Описание!$B$12,1))</f>
        <v/>
      </c>
      <c r="G240" s="15">
        <f>SQRT(Описание!$B$13*G239^2+(1-Описание!$B$13)*D239^2)</f>
        <v/>
      </c>
      <c r="H240" s="17">
        <f>Описание!$B$9*F240*Описание!$B$7</f>
        <v/>
      </c>
      <c r="I240" s="17">
        <f>Описание!$B$9*G240*Описание!$B$7</f>
        <v/>
      </c>
    </row>
    <row r="241">
      <c r="A241" s="13" t="n">
        <v>39057</v>
      </c>
      <c r="B241" s="14" t="n">
        <v>1.3274</v>
      </c>
      <c r="C241" t="inlineStr">
        <is>
          <t>До</t>
        </is>
      </c>
      <c r="D241" s="15">
        <f>B241/B240-1</f>
        <v/>
      </c>
      <c r="E241" s="16">
        <f>LN(B241/B240)</f>
        <v/>
      </c>
      <c r="F241" s="15">
        <f>_xlfn.STDEV.S(OFFSET(D241,-Описание!$B$12,0,Описание!$B$12,1))</f>
        <v/>
      </c>
      <c r="G241" s="15">
        <f>SQRT(Описание!$B$13*G240^2+(1-Описание!$B$13)*D240^2)</f>
        <v/>
      </c>
      <c r="H241" s="17">
        <f>Описание!$B$9*F241*Описание!$B$7</f>
        <v/>
      </c>
      <c r="I241" s="17">
        <f>Описание!$B$9*G241*Описание!$B$7</f>
        <v/>
      </c>
    </row>
    <row r="242">
      <c r="A242" s="13" t="n">
        <v>39058</v>
      </c>
      <c r="B242" s="14" t="n">
        <v>1.3297</v>
      </c>
      <c r="C242" t="inlineStr">
        <is>
          <t>До</t>
        </is>
      </c>
      <c r="D242" s="15">
        <f>B242/B241-1</f>
        <v/>
      </c>
      <c r="E242" s="16">
        <f>LN(B242/B241)</f>
        <v/>
      </c>
      <c r="F242" s="15">
        <f>_xlfn.STDEV.S(OFFSET(D242,-Описание!$B$12,0,Описание!$B$12,1))</f>
        <v/>
      </c>
      <c r="G242" s="15">
        <f>SQRT(Описание!$B$13*G241^2+(1-Описание!$B$13)*D241^2)</f>
        <v/>
      </c>
      <c r="H242" s="17">
        <f>Описание!$B$9*F242*Описание!$B$7</f>
        <v/>
      </c>
      <c r="I242" s="17">
        <f>Описание!$B$9*G242*Описание!$B$7</f>
        <v/>
      </c>
    </row>
    <row r="243">
      <c r="A243" s="13" t="n">
        <v>39059</v>
      </c>
      <c r="B243" s="14" t="n">
        <v>1.3276</v>
      </c>
      <c r="C243" t="inlineStr">
        <is>
          <t>До</t>
        </is>
      </c>
      <c r="D243" s="15">
        <f>B243/B242-1</f>
        <v/>
      </c>
      <c r="E243" s="16">
        <f>LN(B243/B242)</f>
        <v/>
      </c>
      <c r="F243" s="15">
        <f>_xlfn.STDEV.S(OFFSET(D243,-Описание!$B$12,0,Описание!$B$12,1))</f>
        <v/>
      </c>
      <c r="G243" s="15">
        <f>SQRT(Описание!$B$13*G242^2+(1-Описание!$B$13)*D242^2)</f>
        <v/>
      </c>
      <c r="H243" s="17">
        <f>Описание!$B$9*F243*Описание!$B$7</f>
        <v/>
      </c>
      <c r="I243" s="17">
        <f>Описание!$B$9*G243*Описание!$B$7</f>
        <v/>
      </c>
    </row>
    <row r="244">
      <c r="A244" s="13" t="n">
        <v>39062</v>
      </c>
      <c r="B244" s="14" t="n">
        <v>1.3177</v>
      </c>
      <c r="C244" t="inlineStr">
        <is>
          <t>До</t>
        </is>
      </c>
      <c r="D244" s="15">
        <f>B244/B243-1</f>
        <v/>
      </c>
      <c r="E244" s="16">
        <f>LN(B244/B243)</f>
        <v/>
      </c>
      <c r="F244" s="15">
        <f>_xlfn.STDEV.S(OFFSET(D244,-Описание!$B$12,0,Описание!$B$12,1))</f>
        <v/>
      </c>
      <c r="G244" s="15">
        <f>SQRT(Описание!$B$13*G243^2+(1-Описание!$B$13)*D243^2)</f>
        <v/>
      </c>
      <c r="H244" s="17">
        <f>Описание!$B$9*F244*Описание!$B$7</f>
        <v/>
      </c>
      <c r="I244" s="17">
        <f>Описание!$B$9*G244*Описание!$B$7</f>
        <v/>
      </c>
    </row>
    <row r="245">
      <c r="A245" s="13" t="n">
        <v>39063</v>
      </c>
      <c r="B245" s="14" t="n">
        <v>1.3244</v>
      </c>
      <c r="C245" t="inlineStr">
        <is>
          <t>До</t>
        </is>
      </c>
      <c r="D245" s="15">
        <f>B245/B244-1</f>
        <v/>
      </c>
      <c r="E245" s="16">
        <f>LN(B245/B244)</f>
        <v/>
      </c>
      <c r="F245" s="15">
        <f>_xlfn.STDEV.S(OFFSET(D245,-Описание!$B$12,0,Описание!$B$12,1))</f>
        <v/>
      </c>
      <c r="G245" s="15">
        <f>SQRT(Описание!$B$13*G244^2+(1-Описание!$B$13)*D244^2)</f>
        <v/>
      </c>
      <c r="H245" s="17">
        <f>Описание!$B$9*F245*Описание!$B$7</f>
        <v/>
      </c>
      <c r="I245" s="17">
        <f>Описание!$B$9*G245*Описание!$B$7</f>
        <v/>
      </c>
    </row>
    <row r="246">
      <c r="A246" s="13" t="n">
        <v>39064</v>
      </c>
      <c r="B246" s="14" t="n">
        <v>1.3265</v>
      </c>
      <c r="C246" t="inlineStr">
        <is>
          <t>До</t>
        </is>
      </c>
      <c r="D246" s="15">
        <f>B246/B245-1</f>
        <v/>
      </c>
      <c r="E246" s="16">
        <f>LN(B246/B245)</f>
        <v/>
      </c>
      <c r="F246" s="15">
        <f>_xlfn.STDEV.S(OFFSET(D246,-Описание!$B$12,0,Описание!$B$12,1))</f>
        <v/>
      </c>
      <c r="G246" s="15">
        <f>SQRT(Описание!$B$13*G245^2+(1-Описание!$B$13)*D245^2)</f>
        <v/>
      </c>
      <c r="H246" s="17">
        <f>Описание!$B$9*F246*Описание!$B$7</f>
        <v/>
      </c>
      <c r="I246" s="17">
        <f>Описание!$B$9*G246*Описание!$B$7</f>
        <v/>
      </c>
    </row>
    <row r="247">
      <c r="A247" s="13" t="n">
        <v>39065</v>
      </c>
      <c r="B247" s="14" t="n">
        <v>1.3192</v>
      </c>
      <c r="C247" t="inlineStr">
        <is>
          <t>До</t>
        </is>
      </c>
      <c r="D247" s="15">
        <f>B247/B246-1</f>
        <v/>
      </c>
      <c r="E247" s="16">
        <f>LN(B247/B246)</f>
        <v/>
      </c>
      <c r="F247" s="15">
        <f>_xlfn.STDEV.S(OFFSET(D247,-Описание!$B$12,0,Описание!$B$12,1))</f>
        <v/>
      </c>
      <c r="G247" s="15">
        <f>SQRT(Описание!$B$13*G246^2+(1-Описание!$B$13)*D246^2)</f>
        <v/>
      </c>
      <c r="H247" s="17">
        <f>Описание!$B$9*F247*Описание!$B$7</f>
        <v/>
      </c>
      <c r="I247" s="17">
        <f>Описание!$B$9*G247*Описание!$B$7</f>
        <v/>
      </c>
    </row>
    <row r="248">
      <c r="A248" s="13" t="n">
        <v>39066</v>
      </c>
      <c r="B248" s="14" t="n">
        <v>1.3106</v>
      </c>
      <c r="C248" t="inlineStr">
        <is>
          <t>До</t>
        </is>
      </c>
      <c r="D248" s="15">
        <f>B248/B247-1</f>
        <v/>
      </c>
      <c r="E248" s="16">
        <f>LN(B248/B247)</f>
        <v/>
      </c>
      <c r="F248" s="15">
        <f>_xlfn.STDEV.S(OFFSET(D248,-Описание!$B$12,0,Описание!$B$12,1))</f>
        <v/>
      </c>
      <c r="G248" s="15">
        <f>SQRT(Описание!$B$13*G247^2+(1-Описание!$B$13)*D247^2)</f>
        <v/>
      </c>
      <c r="H248" s="17">
        <f>Описание!$B$9*F248*Описание!$B$7</f>
        <v/>
      </c>
      <c r="I248" s="17">
        <f>Описание!$B$9*G248*Описание!$B$7</f>
        <v/>
      </c>
    </row>
    <row r="249">
      <c r="A249" s="13" t="n">
        <v>39069</v>
      </c>
      <c r="B249" s="14" t="n">
        <v>1.3095</v>
      </c>
      <c r="C249" t="inlineStr">
        <is>
          <t>До</t>
        </is>
      </c>
      <c r="D249" s="15">
        <f>B249/B248-1</f>
        <v/>
      </c>
      <c r="E249" s="16">
        <f>LN(B249/B248)</f>
        <v/>
      </c>
      <c r="F249" s="15">
        <f>_xlfn.STDEV.S(OFFSET(D249,-Описание!$B$12,0,Описание!$B$12,1))</f>
        <v/>
      </c>
      <c r="G249" s="15">
        <f>SQRT(Описание!$B$13*G248^2+(1-Описание!$B$13)*D248^2)</f>
        <v/>
      </c>
      <c r="H249" s="17">
        <f>Описание!$B$9*F249*Описание!$B$7</f>
        <v/>
      </c>
      <c r="I249" s="17">
        <f>Описание!$B$9*G249*Описание!$B$7</f>
        <v/>
      </c>
    </row>
    <row r="250">
      <c r="A250" s="13" t="n">
        <v>39070</v>
      </c>
      <c r="B250" s="14" t="n">
        <v>1.3158</v>
      </c>
      <c r="C250" t="inlineStr">
        <is>
          <t>До</t>
        </is>
      </c>
      <c r="D250" s="15">
        <f>B250/B249-1</f>
        <v/>
      </c>
      <c r="E250" s="16">
        <f>LN(B250/B249)</f>
        <v/>
      </c>
      <c r="F250" s="15">
        <f>_xlfn.STDEV.S(OFFSET(D250,-Описание!$B$12,0,Описание!$B$12,1))</f>
        <v/>
      </c>
      <c r="G250" s="15">
        <f>SQRT(Описание!$B$13*G249^2+(1-Описание!$B$13)*D249^2)</f>
        <v/>
      </c>
      <c r="H250" s="17">
        <f>Описание!$B$9*F250*Описание!$B$7</f>
        <v/>
      </c>
      <c r="I250" s="17">
        <f>Описание!$B$9*G250*Описание!$B$7</f>
        <v/>
      </c>
    </row>
    <row r="251">
      <c r="A251" s="13" t="n">
        <v>39071</v>
      </c>
      <c r="B251" s="14" t="n">
        <v>1.3203</v>
      </c>
      <c r="C251" t="inlineStr">
        <is>
          <t>До</t>
        </is>
      </c>
      <c r="D251" s="15">
        <f>B251/B250-1</f>
        <v/>
      </c>
      <c r="E251" s="16">
        <f>LN(B251/B250)</f>
        <v/>
      </c>
      <c r="F251" s="15">
        <f>_xlfn.STDEV.S(OFFSET(D251,-Описание!$B$12,0,Описание!$B$12,1))</f>
        <v/>
      </c>
      <c r="G251" s="15">
        <f>SQRT(Описание!$B$13*G250^2+(1-Описание!$B$13)*D250^2)</f>
        <v/>
      </c>
      <c r="H251" s="17">
        <f>Описание!$B$9*F251*Описание!$B$7</f>
        <v/>
      </c>
      <c r="I251" s="17">
        <f>Описание!$B$9*G251*Описание!$B$7</f>
        <v/>
      </c>
    </row>
    <row r="252">
      <c r="A252" s="13" t="n">
        <v>39072</v>
      </c>
      <c r="B252" s="14" t="n">
        <v>1.3178</v>
      </c>
      <c r="C252" t="inlineStr">
        <is>
          <t>До</t>
        </is>
      </c>
      <c r="D252" s="15">
        <f>B252/B251-1</f>
        <v/>
      </c>
      <c r="E252" s="16">
        <f>LN(B252/B251)</f>
        <v/>
      </c>
      <c r="F252" s="15">
        <f>_xlfn.STDEV.S(OFFSET(D252,-Описание!$B$12,0,Описание!$B$12,1))</f>
        <v/>
      </c>
      <c r="G252" s="15">
        <f>SQRT(Описание!$B$13*G251^2+(1-Описание!$B$13)*D251^2)</f>
        <v/>
      </c>
      <c r="H252" s="17">
        <f>Описание!$B$9*F252*Описание!$B$7</f>
        <v/>
      </c>
      <c r="I252" s="17">
        <f>Описание!$B$9*G252*Описание!$B$7</f>
        <v/>
      </c>
    </row>
    <row r="253">
      <c r="A253" s="13" t="n">
        <v>39073</v>
      </c>
      <c r="B253" s="14" t="n">
        <v>1.3192</v>
      </c>
      <c r="C253" t="inlineStr">
        <is>
          <t>До</t>
        </is>
      </c>
      <c r="D253" s="15">
        <f>B253/B252-1</f>
        <v/>
      </c>
      <c r="E253" s="16">
        <f>LN(B253/B252)</f>
        <v/>
      </c>
      <c r="F253" s="15">
        <f>_xlfn.STDEV.S(OFFSET(D253,-Описание!$B$12,0,Описание!$B$12,1))</f>
        <v/>
      </c>
      <c r="G253" s="15">
        <f>SQRT(Описание!$B$13*G252^2+(1-Описание!$B$13)*D252^2)</f>
        <v/>
      </c>
      <c r="H253" s="17">
        <f>Описание!$B$9*F253*Описание!$B$7</f>
        <v/>
      </c>
      <c r="I253" s="17">
        <f>Описание!$B$9*G253*Описание!$B$7</f>
        <v/>
      </c>
    </row>
    <row r="254">
      <c r="A254" s="13" t="n">
        <v>39078</v>
      </c>
      <c r="B254" s="14" t="n">
        <v>1.3159</v>
      </c>
      <c r="C254" t="inlineStr">
        <is>
          <t>До</t>
        </is>
      </c>
      <c r="D254" s="15">
        <f>B254/B253-1</f>
        <v/>
      </c>
      <c r="E254" s="16">
        <f>LN(B254/B253)</f>
        <v/>
      </c>
      <c r="F254" s="15">
        <f>_xlfn.STDEV.S(OFFSET(D254,-Описание!$B$12,0,Описание!$B$12,1))</f>
        <v/>
      </c>
      <c r="G254" s="15">
        <f>SQRT(Описание!$B$13*G253^2+(1-Описание!$B$13)*D253^2)</f>
        <v/>
      </c>
      <c r="H254" s="17">
        <f>Описание!$B$9*F254*Описание!$B$7</f>
        <v/>
      </c>
      <c r="I254" s="17">
        <f>Описание!$B$9*G254*Описание!$B$7</f>
        <v/>
      </c>
    </row>
    <row r="255">
      <c r="A255" s="13" t="n">
        <v>39079</v>
      </c>
      <c r="B255" s="14" t="n">
        <v>1.3173</v>
      </c>
      <c r="C255" t="inlineStr">
        <is>
          <t>До</t>
        </is>
      </c>
      <c r="D255" s="15">
        <f>B255/B254-1</f>
        <v/>
      </c>
      <c r="E255" s="16">
        <f>LN(B255/B254)</f>
        <v/>
      </c>
      <c r="F255" s="15">
        <f>_xlfn.STDEV.S(OFFSET(D255,-Описание!$B$12,0,Описание!$B$12,1))</f>
        <v/>
      </c>
      <c r="G255" s="15">
        <f>SQRT(Описание!$B$13*G254^2+(1-Описание!$B$13)*D254^2)</f>
        <v/>
      </c>
      <c r="H255" s="17">
        <f>Описание!$B$9*F255*Описание!$B$7</f>
        <v/>
      </c>
      <c r="I255" s="17">
        <f>Описание!$B$9*G255*Описание!$B$7</f>
        <v/>
      </c>
    </row>
    <row r="256">
      <c r="A256" s="13" t="n">
        <v>39080</v>
      </c>
      <c r="B256" s="14" t="n">
        <v>1.317</v>
      </c>
      <c r="C256" t="inlineStr">
        <is>
          <t>До</t>
        </is>
      </c>
      <c r="D256" s="15">
        <f>B256/B255-1</f>
        <v/>
      </c>
      <c r="E256" s="16">
        <f>LN(B256/B255)</f>
        <v/>
      </c>
      <c r="F256" s="15">
        <f>_xlfn.STDEV.S(OFFSET(D256,-Описание!$B$12,0,Описание!$B$12,1))</f>
        <v/>
      </c>
      <c r="G256" s="15">
        <f>SQRT(Описание!$B$13*G255^2+(1-Описание!$B$13)*D255^2)</f>
        <v/>
      </c>
      <c r="H256" s="17">
        <f>Описание!$B$9*F256*Описание!$B$7</f>
        <v/>
      </c>
      <c r="I256" s="17">
        <f>Описание!$B$9*G256*Описание!$B$7</f>
        <v/>
      </c>
    </row>
    <row r="257">
      <c r="A257" s="13" t="n">
        <v>39084</v>
      </c>
      <c r="B257" s="14" t="n">
        <v>1.327</v>
      </c>
      <c r="C257" t="inlineStr">
        <is>
          <t>До</t>
        </is>
      </c>
      <c r="D257" s="15">
        <f>B257/B256-1</f>
        <v/>
      </c>
      <c r="E257" s="16">
        <f>LN(B257/B256)</f>
        <v/>
      </c>
      <c r="F257" s="15">
        <f>_xlfn.STDEV.S(OFFSET(D257,-Описание!$B$12,0,Описание!$B$12,1))</f>
        <v/>
      </c>
      <c r="G257" s="15">
        <f>SQRT(Описание!$B$13*G256^2+(1-Описание!$B$13)*D256^2)</f>
        <v/>
      </c>
      <c r="H257" s="17">
        <f>Описание!$B$9*F257*Описание!$B$7</f>
        <v/>
      </c>
      <c r="I257" s="17">
        <f>Описание!$B$9*G257*Описание!$B$7</f>
        <v/>
      </c>
    </row>
    <row r="258">
      <c r="A258" s="13" t="n">
        <v>39085</v>
      </c>
      <c r="B258" s="14" t="n">
        <v>1.3231</v>
      </c>
      <c r="C258" t="inlineStr">
        <is>
          <t>До</t>
        </is>
      </c>
      <c r="D258" s="15">
        <f>B258/B257-1</f>
        <v/>
      </c>
      <c r="E258" s="16">
        <f>LN(B258/B257)</f>
        <v/>
      </c>
      <c r="F258" s="15">
        <f>_xlfn.STDEV.S(OFFSET(D258,-Описание!$B$12,0,Описание!$B$12,1))</f>
        <v/>
      </c>
      <c r="G258" s="15">
        <f>SQRT(Описание!$B$13*G257^2+(1-Описание!$B$13)*D257^2)</f>
        <v/>
      </c>
      <c r="H258" s="17">
        <f>Описание!$B$9*F258*Описание!$B$7</f>
        <v/>
      </c>
      <c r="I258" s="17">
        <f>Описание!$B$9*G258*Описание!$B$7</f>
        <v/>
      </c>
    </row>
    <row r="259">
      <c r="A259" s="13" t="n">
        <v>39086</v>
      </c>
      <c r="B259" s="14" t="n">
        <v>1.3106</v>
      </c>
      <c r="C259" t="inlineStr">
        <is>
          <t>До</t>
        </is>
      </c>
      <c r="D259" s="15">
        <f>B259/B258-1</f>
        <v/>
      </c>
      <c r="E259" s="16">
        <f>LN(B259/B258)</f>
        <v/>
      </c>
      <c r="F259" s="15">
        <f>_xlfn.STDEV.S(OFFSET(D259,-Описание!$B$12,0,Описание!$B$12,1))</f>
        <v/>
      </c>
      <c r="G259" s="15">
        <f>SQRT(Описание!$B$13*G258^2+(1-Описание!$B$13)*D258^2)</f>
        <v/>
      </c>
      <c r="H259" s="17">
        <f>Описание!$B$9*F259*Описание!$B$7</f>
        <v/>
      </c>
      <c r="I259" s="17">
        <f>Описание!$B$9*G259*Описание!$B$7</f>
        <v/>
      </c>
    </row>
    <row r="260">
      <c r="A260" s="13" t="n">
        <v>39087</v>
      </c>
      <c r="B260" s="14" t="n">
        <v>1.3084</v>
      </c>
      <c r="C260" t="inlineStr">
        <is>
          <t>До</t>
        </is>
      </c>
      <c r="D260" s="15">
        <f>B260/B259-1</f>
        <v/>
      </c>
      <c r="E260" s="16">
        <f>LN(B260/B259)</f>
        <v/>
      </c>
      <c r="F260" s="15">
        <f>_xlfn.STDEV.S(OFFSET(D260,-Описание!$B$12,0,Описание!$B$12,1))</f>
        <v/>
      </c>
      <c r="G260" s="15">
        <f>SQRT(Описание!$B$13*G259^2+(1-Описание!$B$13)*D259^2)</f>
        <v/>
      </c>
      <c r="H260" s="17">
        <f>Описание!$B$9*F260*Описание!$B$7</f>
        <v/>
      </c>
      <c r="I260" s="17">
        <f>Описание!$B$9*G260*Описание!$B$7</f>
        <v/>
      </c>
    </row>
    <row r="261">
      <c r="A261" s="13" t="n">
        <v>39090</v>
      </c>
      <c r="B261" s="14" t="n">
        <v>1.3006</v>
      </c>
      <c r="C261" t="inlineStr">
        <is>
          <t>До</t>
        </is>
      </c>
      <c r="D261" s="15">
        <f>B261/B260-1</f>
        <v/>
      </c>
      <c r="E261" s="16">
        <f>LN(B261/B260)</f>
        <v/>
      </c>
      <c r="F261" s="15">
        <f>_xlfn.STDEV.S(OFFSET(D261,-Описание!$B$12,0,Описание!$B$12,1))</f>
        <v/>
      </c>
      <c r="G261" s="15">
        <f>SQRT(Описание!$B$13*G260^2+(1-Описание!$B$13)*D260^2)</f>
        <v/>
      </c>
      <c r="H261" s="17">
        <f>Описание!$B$9*F261*Описание!$B$7</f>
        <v/>
      </c>
      <c r="I261" s="17">
        <f>Описание!$B$9*G261*Описание!$B$7</f>
        <v/>
      </c>
    </row>
    <row r="262">
      <c r="A262" s="13" t="n">
        <v>39091</v>
      </c>
      <c r="B262" s="14" t="n">
        <v>1.3018</v>
      </c>
      <c r="C262" t="inlineStr">
        <is>
          <t>До</t>
        </is>
      </c>
      <c r="D262" s="15">
        <f>B262/B261-1</f>
        <v/>
      </c>
      <c r="E262" s="16">
        <f>LN(B262/B261)</f>
        <v/>
      </c>
      <c r="F262" s="15">
        <f>_xlfn.STDEV.S(OFFSET(D262,-Описание!$B$12,0,Описание!$B$12,1))</f>
        <v/>
      </c>
      <c r="G262" s="15">
        <f>SQRT(Описание!$B$13*G261^2+(1-Описание!$B$13)*D261^2)</f>
        <v/>
      </c>
      <c r="H262" s="17">
        <f>Описание!$B$9*F262*Описание!$B$7</f>
        <v/>
      </c>
      <c r="I262" s="17">
        <f>Описание!$B$9*G262*Описание!$B$7</f>
        <v/>
      </c>
    </row>
    <row r="263">
      <c r="A263" s="13" t="n">
        <v>39092</v>
      </c>
      <c r="B263" s="14" t="n">
        <v>1.2988</v>
      </c>
      <c r="C263" t="inlineStr">
        <is>
          <t>До</t>
        </is>
      </c>
      <c r="D263" s="15">
        <f>B263/B262-1</f>
        <v/>
      </c>
      <c r="E263" s="16">
        <f>LN(B263/B262)</f>
        <v/>
      </c>
      <c r="F263" s="15">
        <f>_xlfn.STDEV.S(OFFSET(D263,-Описание!$B$12,0,Описание!$B$12,1))</f>
        <v/>
      </c>
      <c r="G263" s="15">
        <f>SQRT(Описание!$B$13*G262^2+(1-Описание!$B$13)*D262^2)</f>
        <v/>
      </c>
      <c r="H263" s="17">
        <f>Описание!$B$9*F263*Описание!$B$7</f>
        <v/>
      </c>
      <c r="I263" s="17">
        <f>Описание!$B$9*G263*Описание!$B$7</f>
        <v/>
      </c>
    </row>
    <row r="264">
      <c r="A264" s="13" t="n">
        <v>39093</v>
      </c>
      <c r="B264" s="14" t="n">
        <v>1.2984</v>
      </c>
      <c r="C264" t="inlineStr">
        <is>
          <t>До</t>
        </is>
      </c>
      <c r="D264" s="15">
        <f>B264/B263-1</f>
        <v/>
      </c>
      <c r="E264" s="16">
        <f>LN(B264/B263)</f>
        <v/>
      </c>
      <c r="F264" s="15">
        <f>_xlfn.STDEV.S(OFFSET(D264,-Описание!$B$12,0,Описание!$B$12,1))</f>
        <v/>
      </c>
      <c r="G264" s="15">
        <f>SQRT(Описание!$B$13*G263^2+(1-Описание!$B$13)*D263^2)</f>
        <v/>
      </c>
      <c r="H264" s="17">
        <f>Описание!$B$9*F264*Описание!$B$7</f>
        <v/>
      </c>
      <c r="I264" s="17">
        <f>Описание!$B$9*G264*Описание!$B$7</f>
        <v/>
      </c>
    </row>
    <row r="265">
      <c r="A265" s="13" t="n">
        <v>39094</v>
      </c>
      <c r="B265" s="14" t="n">
        <v>1.2893</v>
      </c>
      <c r="C265" t="inlineStr">
        <is>
          <t>До</t>
        </is>
      </c>
      <c r="D265" s="15">
        <f>B265/B264-1</f>
        <v/>
      </c>
      <c r="E265" s="16">
        <f>LN(B265/B264)</f>
        <v/>
      </c>
      <c r="F265" s="15">
        <f>_xlfn.STDEV.S(OFFSET(D265,-Описание!$B$12,0,Описание!$B$12,1))</f>
        <v/>
      </c>
      <c r="G265" s="15">
        <f>SQRT(Описание!$B$13*G264^2+(1-Описание!$B$13)*D264^2)</f>
        <v/>
      </c>
      <c r="H265" s="17">
        <f>Описание!$B$9*F265*Описание!$B$7</f>
        <v/>
      </c>
      <c r="I265" s="17">
        <f>Описание!$B$9*G265*Описание!$B$7</f>
        <v/>
      </c>
    </row>
    <row r="266">
      <c r="A266" s="13" t="n">
        <v>39097</v>
      </c>
      <c r="B266" s="14" t="n">
        <v>1.2941</v>
      </c>
      <c r="C266" t="inlineStr">
        <is>
          <t>До</t>
        </is>
      </c>
      <c r="D266" s="15">
        <f>B266/B265-1</f>
        <v/>
      </c>
      <c r="E266" s="16">
        <f>LN(B266/B265)</f>
        <v/>
      </c>
      <c r="F266" s="15">
        <f>_xlfn.STDEV.S(OFFSET(D266,-Описание!$B$12,0,Описание!$B$12,1))</f>
        <v/>
      </c>
      <c r="G266" s="15">
        <f>SQRT(Описание!$B$13*G265^2+(1-Описание!$B$13)*D265^2)</f>
        <v/>
      </c>
      <c r="H266" s="17">
        <f>Описание!$B$9*F266*Описание!$B$7</f>
        <v/>
      </c>
      <c r="I266" s="17">
        <f>Описание!$B$9*G266*Описание!$B$7</f>
        <v/>
      </c>
    </row>
    <row r="267">
      <c r="A267" s="13" t="n">
        <v>39098</v>
      </c>
      <c r="B267" s="14" t="n">
        <v>1.2953</v>
      </c>
      <c r="C267" t="inlineStr">
        <is>
          <t>До</t>
        </is>
      </c>
      <c r="D267" s="15">
        <f>B267/B266-1</f>
        <v/>
      </c>
      <c r="E267" s="16">
        <f>LN(B267/B266)</f>
        <v/>
      </c>
      <c r="F267" s="15">
        <f>_xlfn.STDEV.S(OFFSET(D267,-Описание!$B$12,0,Описание!$B$12,1))</f>
        <v/>
      </c>
      <c r="G267" s="15">
        <f>SQRT(Описание!$B$13*G266^2+(1-Описание!$B$13)*D266^2)</f>
        <v/>
      </c>
      <c r="H267" s="17">
        <f>Описание!$B$9*F267*Описание!$B$7</f>
        <v/>
      </c>
      <c r="I267" s="17">
        <f>Описание!$B$9*G267*Описание!$B$7</f>
        <v/>
      </c>
    </row>
    <row r="268">
      <c r="A268" s="13" t="n">
        <v>39099</v>
      </c>
      <c r="B268" s="14" t="n">
        <v>1.2909</v>
      </c>
      <c r="C268" t="inlineStr">
        <is>
          <t>До</t>
        </is>
      </c>
      <c r="D268" s="15">
        <f>B268/B267-1</f>
        <v/>
      </c>
      <c r="E268" s="16">
        <f>LN(B268/B267)</f>
        <v/>
      </c>
      <c r="F268" s="15">
        <f>_xlfn.STDEV.S(OFFSET(D268,-Описание!$B$12,0,Описание!$B$12,1))</f>
        <v/>
      </c>
      <c r="G268" s="15">
        <f>SQRT(Описание!$B$13*G267^2+(1-Описание!$B$13)*D267^2)</f>
        <v/>
      </c>
      <c r="H268" s="17">
        <f>Описание!$B$9*F268*Описание!$B$7</f>
        <v/>
      </c>
      <c r="I268" s="17">
        <f>Описание!$B$9*G268*Описание!$B$7</f>
        <v/>
      </c>
    </row>
    <row r="269">
      <c r="A269" s="13" t="n">
        <v>39100</v>
      </c>
      <c r="B269" s="14" t="n">
        <v>1.2922</v>
      </c>
      <c r="C269" t="inlineStr">
        <is>
          <t>До</t>
        </is>
      </c>
      <c r="D269" s="15">
        <f>B269/B268-1</f>
        <v/>
      </c>
      <c r="E269" s="16">
        <f>LN(B269/B268)</f>
        <v/>
      </c>
      <c r="F269" s="15">
        <f>_xlfn.STDEV.S(OFFSET(D269,-Описание!$B$12,0,Описание!$B$12,1))</f>
        <v/>
      </c>
      <c r="G269" s="15">
        <f>SQRT(Описание!$B$13*G268^2+(1-Описание!$B$13)*D268^2)</f>
        <v/>
      </c>
      <c r="H269" s="17">
        <f>Описание!$B$9*F269*Описание!$B$7</f>
        <v/>
      </c>
      <c r="I269" s="17">
        <f>Описание!$B$9*G269*Описание!$B$7</f>
        <v/>
      </c>
    </row>
    <row r="270">
      <c r="A270" s="13" t="n">
        <v>39101</v>
      </c>
      <c r="B270" s="14" t="n">
        <v>1.2958</v>
      </c>
      <c r="C270" t="inlineStr">
        <is>
          <t>До</t>
        </is>
      </c>
      <c r="D270" s="15">
        <f>B270/B269-1</f>
        <v/>
      </c>
      <c r="E270" s="16">
        <f>LN(B270/B269)</f>
        <v/>
      </c>
      <c r="F270" s="15">
        <f>_xlfn.STDEV.S(OFFSET(D270,-Описание!$B$12,0,Описание!$B$12,1))</f>
        <v/>
      </c>
      <c r="G270" s="15">
        <f>SQRT(Описание!$B$13*G269^2+(1-Описание!$B$13)*D269^2)</f>
        <v/>
      </c>
      <c r="H270" s="17">
        <f>Описание!$B$9*F270*Описание!$B$7</f>
        <v/>
      </c>
      <c r="I270" s="17">
        <f>Описание!$B$9*G270*Описание!$B$7</f>
        <v/>
      </c>
    </row>
    <row r="271">
      <c r="A271" s="13" t="n">
        <v>39104</v>
      </c>
      <c r="B271" s="14" t="n">
        <v>1.2936</v>
      </c>
      <c r="C271" t="inlineStr">
        <is>
          <t>До</t>
        </is>
      </c>
      <c r="D271" s="15">
        <f>B271/B270-1</f>
        <v/>
      </c>
      <c r="E271" s="16">
        <f>LN(B271/B270)</f>
        <v/>
      </c>
      <c r="F271" s="15">
        <f>_xlfn.STDEV.S(OFFSET(D271,-Описание!$B$12,0,Описание!$B$12,1))</f>
        <v/>
      </c>
      <c r="G271" s="15">
        <f>SQRT(Описание!$B$13*G270^2+(1-Описание!$B$13)*D270^2)</f>
        <v/>
      </c>
      <c r="H271" s="17">
        <f>Описание!$B$9*F271*Описание!$B$7</f>
        <v/>
      </c>
      <c r="I271" s="17">
        <f>Описание!$B$9*G271*Описание!$B$7</f>
        <v/>
      </c>
    </row>
    <row r="272">
      <c r="A272" s="13" t="n">
        <v>39105</v>
      </c>
      <c r="B272" s="14" t="n">
        <v>1.304</v>
      </c>
      <c r="C272" t="inlineStr">
        <is>
          <t>До</t>
        </is>
      </c>
      <c r="D272" s="15">
        <f>B272/B271-1</f>
        <v/>
      </c>
      <c r="E272" s="16">
        <f>LN(B272/B271)</f>
        <v/>
      </c>
      <c r="F272" s="15">
        <f>_xlfn.STDEV.S(OFFSET(D272,-Описание!$B$12,0,Описание!$B$12,1))</f>
        <v/>
      </c>
      <c r="G272" s="15">
        <f>SQRT(Описание!$B$13*G271^2+(1-Описание!$B$13)*D271^2)</f>
        <v/>
      </c>
      <c r="H272" s="17">
        <f>Описание!$B$9*F272*Описание!$B$7</f>
        <v/>
      </c>
      <c r="I272" s="17">
        <f>Описание!$B$9*G272*Описание!$B$7</f>
        <v/>
      </c>
    </row>
    <row r="273">
      <c r="A273" s="13" t="n">
        <v>39106</v>
      </c>
      <c r="B273" s="14" t="n">
        <v>1.3005</v>
      </c>
      <c r="C273" t="inlineStr">
        <is>
          <t>До</t>
        </is>
      </c>
      <c r="D273" s="15">
        <f>B273/B272-1</f>
        <v/>
      </c>
      <c r="E273" s="16">
        <f>LN(B273/B272)</f>
        <v/>
      </c>
      <c r="F273" s="15">
        <f>_xlfn.STDEV.S(OFFSET(D273,-Описание!$B$12,0,Описание!$B$12,1))</f>
        <v/>
      </c>
      <c r="G273" s="15">
        <f>SQRT(Описание!$B$13*G272^2+(1-Описание!$B$13)*D272^2)</f>
        <v/>
      </c>
      <c r="H273" s="17">
        <f>Описание!$B$9*F273*Описание!$B$7</f>
        <v/>
      </c>
      <c r="I273" s="17">
        <f>Описание!$B$9*G273*Описание!$B$7</f>
        <v/>
      </c>
    </row>
    <row r="274">
      <c r="A274" s="13" t="n">
        <v>39107</v>
      </c>
      <c r="B274" s="14" t="n">
        <v>1.2978</v>
      </c>
      <c r="C274" t="inlineStr">
        <is>
          <t>До</t>
        </is>
      </c>
      <c r="D274" s="15">
        <f>B274/B273-1</f>
        <v/>
      </c>
      <c r="E274" s="16">
        <f>LN(B274/B273)</f>
        <v/>
      </c>
      <c r="F274" s="15">
        <f>_xlfn.STDEV.S(OFFSET(D274,-Описание!$B$12,0,Описание!$B$12,1))</f>
        <v/>
      </c>
      <c r="G274" s="15">
        <f>SQRT(Описание!$B$13*G273^2+(1-Описание!$B$13)*D273^2)</f>
        <v/>
      </c>
      <c r="H274" s="17">
        <f>Описание!$B$9*F274*Описание!$B$7</f>
        <v/>
      </c>
      <c r="I274" s="17">
        <f>Описание!$B$9*G274*Описание!$B$7</f>
        <v/>
      </c>
    </row>
    <row r="275">
      <c r="A275" s="13" t="n">
        <v>39108</v>
      </c>
      <c r="B275" s="14" t="n">
        <v>1.2901</v>
      </c>
      <c r="C275" t="inlineStr">
        <is>
          <t>До</t>
        </is>
      </c>
      <c r="D275" s="15">
        <f>B275/B274-1</f>
        <v/>
      </c>
      <c r="E275" s="16">
        <f>LN(B275/B274)</f>
        <v/>
      </c>
      <c r="F275" s="15">
        <f>_xlfn.STDEV.S(OFFSET(D275,-Описание!$B$12,0,Описание!$B$12,1))</f>
        <v/>
      </c>
      <c r="G275" s="15">
        <f>SQRT(Описание!$B$13*G274^2+(1-Описание!$B$13)*D274^2)</f>
        <v/>
      </c>
      <c r="H275" s="17">
        <f>Описание!$B$9*F275*Описание!$B$7</f>
        <v/>
      </c>
      <c r="I275" s="17">
        <f>Описание!$B$9*G275*Описание!$B$7</f>
        <v/>
      </c>
    </row>
    <row r="276">
      <c r="A276" s="13" t="n">
        <v>39111</v>
      </c>
      <c r="B276" s="14" t="n">
        <v>1.2921</v>
      </c>
      <c r="C276" t="inlineStr">
        <is>
          <t>До</t>
        </is>
      </c>
      <c r="D276" s="15">
        <f>B276/B275-1</f>
        <v/>
      </c>
      <c r="E276" s="16">
        <f>LN(B276/B275)</f>
        <v/>
      </c>
      <c r="F276" s="15">
        <f>_xlfn.STDEV.S(OFFSET(D276,-Описание!$B$12,0,Описание!$B$12,1))</f>
        <v/>
      </c>
      <c r="G276" s="15">
        <f>SQRT(Описание!$B$13*G275^2+(1-Описание!$B$13)*D275^2)</f>
        <v/>
      </c>
      <c r="H276" s="17">
        <f>Описание!$B$9*F276*Описание!$B$7</f>
        <v/>
      </c>
      <c r="I276" s="17">
        <f>Описание!$B$9*G276*Описание!$B$7</f>
        <v/>
      </c>
    </row>
    <row r="277">
      <c r="A277" s="13" t="n">
        <v>39112</v>
      </c>
      <c r="B277" s="14" t="n">
        <v>1.2972</v>
      </c>
      <c r="C277" t="inlineStr">
        <is>
          <t>До</t>
        </is>
      </c>
      <c r="D277" s="15">
        <f>B277/B276-1</f>
        <v/>
      </c>
      <c r="E277" s="16">
        <f>LN(B277/B276)</f>
        <v/>
      </c>
      <c r="F277" s="15">
        <f>_xlfn.STDEV.S(OFFSET(D277,-Описание!$B$12,0,Описание!$B$12,1))</f>
        <v/>
      </c>
      <c r="G277" s="15">
        <f>SQRT(Описание!$B$13*G276^2+(1-Описание!$B$13)*D276^2)</f>
        <v/>
      </c>
      <c r="H277" s="17">
        <f>Описание!$B$9*F277*Описание!$B$7</f>
        <v/>
      </c>
      <c r="I277" s="17">
        <f>Описание!$B$9*G277*Описание!$B$7</f>
        <v/>
      </c>
    </row>
    <row r="278">
      <c r="A278" s="13" t="n">
        <v>39113</v>
      </c>
      <c r="B278" s="14" t="n">
        <v>1.2954</v>
      </c>
      <c r="C278" t="inlineStr">
        <is>
          <t>До</t>
        </is>
      </c>
      <c r="D278" s="15">
        <f>B278/B277-1</f>
        <v/>
      </c>
      <c r="E278" s="16">
        <f>LN(B278/B277)</f>
        <v/>
      </c>
      <c r="F278" s="15">
        <f>_xlfn.STDEV.S(OFFSET(D278,-Описание!$B$12,0,Описание!$B$12,1))</f>
        <v/>
      </c>
      <c r="G278" s="15">
        <f>SQRT(Описание!$B$13*G277^2+(1-Описание!$B$13)*D277^2)</f>
        <v/>
      </c>
      <c r="H278" s="17">
        <f>Описание!$B$9*F278*Описание!$B$7</f>
        <v/>
      </c>
      <c r="I278" s="17">
        <f>Описание!$B$9*G278*Описание!$B$7</f>
        <v/>
      </c>
    </row>
    <row r="279">
      <c r="A279" s="13" t="n">
        <v>39114</v>
      </c>
      <c r="B279" s="14" t="n">
        <v>1.302</v>
      </c>
      <c r="C279" t="inlineStr">
        <is>
          <t>До</t>
        </is>
      </c>
      <c r="D279" s="15">
        <f>B279/B278-1</f>
        <v/>
      </c>
      <c r="E279" s="16">
        <f>LN(B279/B278)</f>
        <v/>
      </c>
      <c r="F279" s="15">
        <f>_xlfn.STDEV.S(OFFSET(D279,-Описание!$B$12,0,Описание!$B$12,1))</f>
        <v/>
      </c>
      <c r="G279" s="15">
        <f>SQRT(Описание!$B$13*G278^2+(1-Описание!$B$13)*D278^2)</f>
        <v/>
      </c>
      <c r="H279" s="17">
        <f>Описание!$B$9*F279*Описание!$B$7</f>
        <v/>
      </c>
      <c r="I279" s="17">
        <f>Описание!$B$9*G279*Описание!$B$7</f>
        <v/>
      </c>
    </row>
    <row r="280">
      <c r="A280" s="13" t="n">
        <v>39115</v>
      </c>
      <c r="B280" s="14" t="n">
        <v>1.302</v>
      </c>
      <c r="C280" t="inlineStr">
        <is>
          <t>До</t>
        </is>
      </c>
      <c r="D280" s="15">
        <f>B280/B279-1</f>
        <v/>
      </c>
      <c r="E280" s="16">
        <f>LN(B280/B279)</f>
        <v/>
      </c>
      <c r="F280" s="15">
        <f>_xlfn.STDEV.S(OFFSET(D280,-Описание!$B$12,0,Описание!$B$12,1))</f>
        <v/>
      </c>
      <c r="G280" s="15">
        <f>SQRT(Описание!$B$13*G279^2+(1-Описание!$B$13)*D279^2)</f>
        <v/>
      </c>
      <c r="H280" s="17">
        <f>Описание!$B$9*F280*Описание!$B$7</f>
        <v/>
      </c>
      <c r="I280" s="17">
        <f>Описание!$B$9*G280*Описание!$B$7</f>
        <v/>
      </c>
    </row>
    <row r="281">
      <c r="A281" s="13" t="n">
        <v>39118</v>
      </c>
      <c r="B281" s="14" t="n">
        <v>1.2925</v>
      </c>
      <c r="C281" t="inlineStr">
        <is>
          <t>До</t>
        </is>
      </c>
      <c r="D281" s="15">
        <f>B281/B280-1</f>
        <v/>
      </c>
      <c r="E281" s="16">
        <f>LN(B281/B280)</f>
        <v/>
      </c>
      <c r="F281" s="15">
        <f>_xlfn.STDEV.S(OFFSET(D281,-Описание!$B$12,0,Описание!$B$12,1))</f>
        <v/>
      </c>
      <c r="G281" s="15">
        <f>SQRT(Описание!$B$13*G280^2+(1-Описание!$B$13)*D280^2)</f>
        <v/>
      </c>
      <c r="H281" s="17">
        <f>Описание!$B$9*F281*Описание!$B$7</f>
        <v/>
      </c>
      <c r="I281" s="17">
        <f>Описание!$B$9*G281*Описание!$B$7</f>
        <v/>
      </c>
    </row>
    <row r="282">
      <c r="A282" s="13" t="n">
        <v>39119</v>
      </c>
      <c r="B282" s="14" t="n">
        <v>1.2955</v>
      </c>
      <c r="C282" t="inlineStr">
        <is>
          <t>До</t>
        </is>
      </c>
      <c r="D282" s="15">
        <f>B282/B281-1</f>
        <v/>
      </c>
      <c r="E282" s="16">
        <f>LN(B282/B281)</f>
        <v/>
      </c>
      <c r="F282" s="15">
        <f>_xlfn.STDEV.S(OFFSET(D282,-Описание!$B$12,0,Описание!$B$12,1))</f>
        <v/>
      </c>
      <c r="G282" s="15">
        <f>SQRT(Описание!$B$13*G281^2+(1-Описание!$B$13)*D281^2)</f>
        <v/>
      </c>
      <c r="H282" s="17">
        <f>Описание!$B$9*F282*Описание!$B$7</f>
        <v/>
      </c>
      <c r="I282" s="17">
        <f>Описание!$B$9*G282*Описание!$B$7</f>
        <v/>
      </c>
    </row>
    <row r="283">
      <c r="A283" s="13" t="n">
        <v>39120</v>
      </c>
      <c r="B283" s="14" t="n">
        <v>1.2987</v>
      </c>
      <c r="C283" t="inlineStr">
        <is>
          <t>До</t>
        </is>
      </c>
      <c r="D283" s="15">
        <f>B283/B282-1</f>
        <v/>
      </c>
      <c r="E283" s="16">
        <f>LN(B283/B282)</f>
        <v/>
      </c>
      <c r="F283" s="15">
        <f>_xlfn.STDEV.S(OFFSET(D283,-Описание!$B$12,0,Описание!$B$12,1))</f>
        <v/>
      </c>
      <c r="G283" s="15">
        <f>SQRT(Описание!$B$13*G282^2+(1-Описание!$B$13)*D282^2)</f>
        <v/>
      </c>
      <c r="H283" s="17">
        <f>Описание!$B$9*F283*Описание!$B$7</f>
        <v/>
      </c>
      <c r="I283" s="17">
        <f>Описание!$B$9*G283*Описание!$B$7</f>
        <v/>
      </c>
    </row>
    <row r="284">
      <c r="A284" s="13" t="n">
        <v>39121</v>
      </c>
      <c r="B284" s="14" t="n">
        <v>1.2991</v>
      </c>
      <c r="C284" t="inlineStr">
        <is>
          <t>До</t>
        </is>
      </c>
      <c r="D284" s="15">
        <f>B284/B283-1</f>
        <v/>
      </c>
      <c r="E284" s="16">
        <f>LN(B284/B283)</f>
        <v/>
      </c>
      <c r="F284" s="15">
        <f>_xlfn.STDEV.S(OFFSET(D284,-Описание!$B$12,0,Описание!$B$12,1))</f>
        <v/>
      </c>
      <c r="G284" s="15">
        <f>SQRT(Описание!$B$13*G283^2+(1-Описание!$B$13)*D283^2)</f>
        <v/>
      </c>
      <c r="H284" s="17">
        <f>Описание!$B$9*F284*Описание!$B$7</f>
        <v/>
      </c>
      <c r="I284" s="17">
        <f>Описание!$B$9*G284*Описание!$B$7</f>
        <v/>
      </c>
    </row>
    <row r="285">
      <c r="A285" s="13" t="n">
        <v>39122</v>
      </c>
      <c r="B285" s="14" t="n">
        <v>1.3007</v>
      </c>
      <c r="C285" t="inlineStr">
        <is>
          <t>До</t>
        </is>
      </c>
      <c r="D285" s="15">
        <f>B285/B284-1</f>
        <v/>
      </c>
      <c r="E285" s="16">
        <f>LN(B285/B284)</f>
        <v/>
      </c>
      <c r="F285" s="15">
        <f>_xlfn.STDEV.S(OFFSET(D285,-Описание!$B$12,0,Описание!$B$12,1))</f>
        <v/>
      </c>
      <c r="G285" s="15">
        <f>SQRT(Описание!$B$13*G284^2+(1-Описание!$B$13)*D284^2)</f>
        <v/>
      </c>
      <c r="H285" s="17">
        <f>Описание!$B$9*F285*Описание!$B$7</f>
        <v/>
      </c>
      <c r="I285" s="17">
        <f>Описание!$B$9*G285*Описание!$B$7</f>
        <v/>
      </c>
    </row>
    <row r="286">
      <c r="A286" s="13" t="n">
        <v>39125</v>
      </c>
      <c r="B286" s="14" t="n">
        <v>1.2956</v>
      </c>
      <c r="C286" t="inlineStr">
        <is>
          <t>До</t>
        </is>
      </c>
      <c r="D286" s="15">
        <f>B286/B285-1</f>
        <v/>
      </c>
      <c r="E286" s="16">
        <f>LN(B286/B285)</f>
        <v/>
      </c>
      <c r="F286" s="15">
        <f>_xlfn.STDEV.S(OFFSET(D286,-Описание!$B$12,0,Описание!$B$12,1))</f>
        <v/>
      </c>
      <c r="G286" s="15">
        <f>SQRT(Описание!$B$13*G285^2+(1-Описание!$B$13)*D285^2)</f>
        <v/>
      </c>
      <c r="H286" s="17">
        <f>Описание!$B$9*F286*Описание!$B$7</f>
        <v/>
      </c>
      <c r="I286" s="17">
        <f>Описание!$B$9*G286*Описание!$B$7</f>
        <v/>
      </c>
    </row>
    <row r="287">
      <c r="A287" s="13" t="n">
        <v>39126</v>
      </c>
      <c r="B287" s="14" t="n">
        <v>1.3022</v>
      </c>
      <c r="C287" t="inlineStr">
        <is>
          <t>До</t>
        </is>
      </c>
      <c r="D287" s="15">
        <f>B287/B286-1</f>
        <v/>
      </c>
      <c r="E287" s="16">
        <f>LN(B287/B286)</f>
        <v/>
      </c>
      <c r="F287" s="15">
        <f>_xlfn.STDEV.S(OFFSET(D287,-Описание!$B$12,0,Описание!$B$12,1))</f>
        <v/>
      </c>
      <c r="G287" s="15">
        <f>SQRT(Описание!$B$13*G286^2+(1-Описание!$B$13)*D286^2)</f>
        <v/>
      </c>
      <c r="H287" s="17">
        <f>Описание!$B$9*F287*Описание!$B$7</f>
        <v/>
      </c>
      <c r="I287" s="17">
        <f>Описание!$B$9*G287*Описание!$B$7</f>
        <v/>
      </c>
    </row>
    <row r="288">
      <c r="A288" s="13" t="n">
        <v>39127</v>
      </c>
      <c r="B288" s="14" t="n">
        <v>1.3082</v>
      </c>
      <c r="C288" t="inlineStr">
        <is>
          <t>До</t>
        </is>
      </c>
      <c r="D288" s="15">
        <f>B288/B287-1</f>
        <v/>
      </c>
      <c r="E288" s="16">
        <f>LN(B288/B287)</f>
        <v/>
      </c>
      <c r="F288" s="15">
        <f>_xlfn.STDEV.S(OFFSET(D288,-Описание!$B$12,0,Описание!$B$12,1))</f>
        <v/>
      </c>
      <c r="G288" s="15">
        <f>SQRT(Описание!$B$13*G287^2+(1-Описание!$B$13)*D287^2)</f>
        <v/>
      </c>
      <c r="H288" s="17">
        <f>Описание!$B$9*F288*Описание!$B$7</f>
        <v/>
      </c>
      <c r="I288" s="17">
        <f>Описание!$B$9*G288*Описание!$B$7</f>
        <v/>
      </c>
    </row>
    <row r="289">
      <c r="A289" s="13" t="n">
        <v>39128</v>
      </c>
      <c r="B289" s="14" t="n">
        <v>1.3137</v>
      </c>
      <c r="C289" t="inlineStr">
        <is>
          <t>До</t>
        </is>
      </c>
      <c r="D289" s="15">
        <f>B289/B288-1</f>
        <v/>
      </c>
      <c r="E289" s="16">
        <f>LN(B289/B288)</f>
        <v/>
      </c>
      <c r="F289" s="15">
        <f>_xlfn.STDEV.S(OFFSET(D289,-Описание!$B$12,0,Описание!$B$12,1))</f>
        <v/>
      </c>
      <c r="G289" s="15">
        <f>SQRT(Описание!$B$13*G288^2+(1-Описание!$B$13)*D288^2)</f>
        <v/>
      </c>
      <c r="H289" s="17">
        <f>Описание!$B$9*F289*Описание!$B$7</f>
        <v/>
      </c>
      <c r="I289" s="17">
        <f>Описание!$B$9*G289*Описание!$B$7</f>
        <v/>
      </c>
    </row>
    <row r="290">
      <c r="A290" s="13" t="n">
        <v>39129</v>
      </c>
      <c r="B290" s="14" t="n">
        <v>1.3119</v>
      </c>
      <c r="C290" t="inlineStr">
        <is>
          <t>До</t>
        </is>
      </c>
      <c r="D290" s="15">
        <f>B290/B289-1</f>
        <v/>
      </c>
      <c r="E290" s="16">
        <f>LN(B290/B289)</f>
        <v/>
      </c>
      <c r="F290" s="15">
        <f>_xlfn.STDEV.S(OFFSET(D290,-Описание!$B$12,0,Описание!$B$12,1))</f>
        <v/>
      </c>
      <c r="G290" s="15">
        <f>SQRT(Описание!$B$13*G289^2+(1-Описание!$B$13)*D289^2)</f>
        <v/>
      </c>
      <c r="H290" s="17">
        <f>Описание!$B$9*F290*Описание!$B$7</f>
        <v/>
      </c>
      <c r="I290" s="17">
        <f>Описание!$B$9*G290*Описание!$B$7</f>
        <v/>
      </c>
    </row>
    <row r="291">
      <c r="A291" s="13" t="n">
        <v>39132</v>
      </c>
      <c r="B291" s="14" t="n">
        <v>1.3132</v>
      </c>
      <c r="C291" t="inlineStr">
        <is>
          <t>До</t>
        </is>
      </c>
      <c r="D291" s="15">
        <f>B291/B290-1</f>
        <v/>
      </c>
      <c r="E291" s="16">
        <f>LN(B291/B290)</f>
        <v/>
      </c>
      <c r="F291" s="15">
        <f>_xlfn.STDEV.S(OFFSET(D291,-Описание!$B$12,0,Описание!$B$12,1))</f>
        <v/>
      </c>
      <c r="G291" s="15">
        <f>SQRT(Описание!$B$13*G290^2+(1-Описание!$B$13)*D290^2)</f>
        <v/>
      </c>
      <c r="H291" s="17">
        <f>Описание!$B$9*F291*Описание!$B$7</f>
        <v/>
      </c>
      <c r="I291" s="17">
        <f>Описание!$B$9*G291*Описание!$B$7</f>
        <v/>
      </c>
    </row>
    <row r="292">
      <c r="A292" s="13" t="n">
        <v>39133</v>
      </c>
      <c r="B292" s="14" t="n">
        <v>1.3145</v>
      </c>
      <c r="C292" t="inlineStr">
        <is>
          <t>До</t>
        </is>
      </c>
      <c r="D292" s="15">
        <f>B292/B291-1</f>
        <v/>
      </c>
      <c r="E292" s="16">
        <f>LN(B292/B291)</f>
        <v/>
      </c>
      <c r="F292" s="15">
        <f>_xlfn.STDEV.S(OFFSET(D292,-Описание!$B$12,0,Описание!$B$12,1))</f>
        <v/>
      </c>
      <c r="G292" s="15">
        <f>SQRT(Описание!$B$13*G291^2+(1-Описание!$B$13)*D291^2)</f>
        <v/>
      </c>
      <c r="H292" s="17">
        <f>Описание!$B$9*F292*Описание!$B$7</f>
        <v/>
      </c>
      <c r="I292" s="17">
        <f>Описание!$B$9*G292*Описание!$B$7</f>
        <v/>
      </c>
    </row>
    <row r="293">
      <c r="A293" s="13" t="n">
        <v>39134</v>
      </c>
      <c r="B293" s="14" t="n">
        <v>1.3145</v>
      </c>
      <c r="C293" t="inlineStr">
        <is>
          <t>До</t>
        </is>
      </c>
      <c r="D293" s="15">
        <f>B293/B292-1</f>
        <v/>
      </c>
      <c r="E293" s="16">
        <f>LN(B293/B292)</f>
        <v/>
      </c>
      <c r="F293" s="15">
        <f>_xlfn.STDEV.S(OFFSET(D293,-Описание!$B$12,0,Описание!$B$12,1))</f>
        <v/>
      </c>
      <c r="G293" s="15">
        <f>SQRT(Описание!$B$13*G292^2+(1-Описание!$B$13)*D292^2)</f>
        <v/>
      </c>
      <c r="H293" s="17">
        <f>Описание!$B$9*F293*Описание!$B$7</f>
        <v/>
      </c>
      <c r="I293" s="17">
        <f>Описание!$B$9*G293*Описание!$B$7</f>
        <v/>
      </c>
    </row>
    <row r="294">
      <c r="A294" s="13" t="n">
        <v>39135</v>
      </c>
      <c r="B294" s="14" t="n">
        <v>1.3106</v>
      </c>
      <c r="C294" t="inlineStr">
        <is>
          <t>До</t>
        </is>
      </c>
      <c r="D294" s="15">
        <f>B294/B293-1</f>
        <v/>
      </c>
      <c r="E294" s="16">
        <f>LN(B294/B293)</f>
        <v/>
      </c>
      <c r="F294" s="15">
        <f>_xlfn.STDEV.S(OFFSET(D294,-Описание!$B$12,0,Описание!$B$12,1))</f>
        <v/>
      </c>
      <c r="G294" s="15">
        <f>SQRT(Описание!$B$13*G293^2+(1-Описание!$B$13)*D293^2)</f>
        <v/>
      </c>
      <c r="H294" s="17">
        <f>Описание!$B$9*F294*Описание!$B$7</f>
        <v/>
      </c>
      <c r="I294" s="17">
        <f>Описание!$B$9*G294*Описание!$B$7</f>
        <v/>
      </c>
    </row>
    <row r="295">
      <c r="A295" s="13" t="n">
        <v>39136</v>
      </c>
      <c r="B295" s="14" t="n">
        <v>1.3134</v>
      </c>
      <c r="C295" t="inlineStr">
        <is>
          <t>До</t>
        </is>
      </c>
      <c r="D295" s="15">
        <f>B295/B294-1</f>
        <v/>
      </c>
      <c r="E295" s="16">
        <f>LN(B295/B294)</f>
        <v/>
      </c>
      <c r="F295" s="15">
        <f>_xlfn.STDEV.S(OFFSET(D295,-Описание!$B$12,0,Описание!$B$12,1))</f>
        <v/>
      </c>
      <c r="G295" s="15">
        <f>SQRT(Описание!$B$13*G294^2+(1-Описание!$B$13)*D294^2)</f>
        <v/>
      </c>
      <c r="H295" s="17">
        <f>Описание!$B$9*F295*Описание!$B$7</f>
        <v/>
      </c>
      <c r="I295" s="17">
        <f>Описание!$B$9*G295*Описание!$B$7</f>
        <v/>
      </c>
    </row>
    <row r="296">
      <c r="A296" s="13" t="n">
        <v>39139</v>
      </c>
      <c r="B296" s="14" t="n">
        <v>1.316</v>
      </c>
      <c r="C296" t="inlineStr">
        <is>
          <t>До</t>
        </is>
      </c>
      <c r="D296" s="15">
        <f>B296/B295-1</f>
        <v/>
      </c>
      <c r="E296" s="16">
        <f>LN(B296/B295)</f>
        <v/>
      </c>
      <c r="F296" s="15">
        <f>_xlfn.STDEV.S(OFFSET(D296,-Описание!$B$12,0,Описание!$B$12,1))</f>
        <v/>
      </c>
      <c r="G296" s="15">
        <f>SQRT(Описание!$B$13*G295^2+(1-Описание!$B$13)*D295^2)</f>
        <v/>
      </c>
      <c r="H296" s="17">
        <f>Описание!$B$9*F296*Описание!$B$7</f>
        <v/>
      </c>
      <c r="I296" s="17">
        <f>Описание!$B$9*G296*Описание!$B$7</f>
        <v/>
      </c>
    </row>
    <row r="297">
      <c r="A297" s="13" t="n">
        <v>39140</v>
      </c>
      <c r="B297" s="14" t="n">
        <v>1.323</v>
      </c>
      <c r="C297" t="inlineStr">
        <is>
          <t>До</t>
        </is>
      </c>
      <c r="D297" s="15">
        <f>B297/B296-1</f>
        <v/>
      </c>
      <c r="E297" s="16">
        <f>LN(B297/B296)</f>
        <v/>
      </c>
      <c r="F297" s="15">
        <f>_xlfn.STDEV.S(OFFSET(D297,-Описание!$B$12,0,Описание!$B$12,1))</f>
        <v/>
      </c>
      <c r="G297" s="15">
        <f>SQRT(Описание!$B$13*G296^2+(1-Описание!$B$13)*D296^2)</f>
        <v/>
      </c>
      <c r="H297" s="17">
        <f>Описание!$B$9*F297*Описание!$B$7</f>
        <v/>
      </c>
      <c r="I297" s="17">
        <f>Описание!$B$9*G297*Описание!$B$7</f>
        <v/>
      </c>
    </row>
    <row r="298">
      <c r="A298" s="13" t="n">
        <v>39141</v>
      </c>
      <c r="B298" s="14" t="n">
        <v>1.3211</v>
      </c>
      <c r="C298" t="inlineStr">
        <is>
          <t>До</t>
        </is>
      </c>
      <c r="D298" s="15">
        <f>B298/B297-1</f>
        <v/>
      </c>
      <c r="E298" s="16">
        <f>LN(B298/B297)</f>
        <v/>
      </c>
      <c r="F298" s="15">
        <f>_xlfn.STDEV.S(OFFSET(D298,-Описание!$B$12,0,Описание!$B$12,1))</f>
        <v/>
      </c>
      <c r="G298" s="15">
        <f>SQRT(Описание!$B$13*G297^2+(1-Описание!$B$13)*D297^2)</f>
        <v/>
      </c>
      <c r="H298" s="17">
        <f>Описание!$B$9*F298*Описание!$B$7</f>
        <v/>
      </c>
      <c r="I298" s="17">
        <f>Описание!$B$9*G298*Описание!$B$7</f>
        <v/>
      </c>
    </row>
    <row r="299">
      <c r="A299" s="13" t="n">
        <v>39142</v>
      </c>
      <c r="B299" s="14" t="n">
        <v>1.3225</v>
      </c>
      <c r="C299" t="inlineStr">
        <is>
          <t>До</t>
        </is>
      </c>
      <c r="D299" s="15">
        <f>B299/B298-1</f>
        <v/>
      </c>
      <c r="E299" s="16">
        <f>LN(B299/B298)</f>
        <v/>
      </c>
      <c r="F299" s="15">
        <f>_xlfn.STDEV.S(OFFSET(D299,-Описание!$B$12,0,Описание!$B$12,1))</f>
        <v/>
      </c>
      <c r="G299" s="15">
        <f>SQRT(Описание!$B$13*G298^2+(1-Описание!$B$13)*D298^2)</f>
        <v/>
      </c>
      <c r="H299" s="17">
        <f>Описание!$B$9*F299*Описание!$B$7</f>
        <v/>
      </c>
      <c r="I299" s="17">
        <f>Описание!$B$9*G299*Описание!$B$7</f>
        <v/>
      </c>
    </row>
    <row r="300">
      <c r="A300" s="13" t="n">
        <v>39143</v>
      </c>
      <c r="B300" s="14" t="n">
        <v>1.3163</v>
      </c>
      <c r="C300" t="inlineStr">
        <is>
          <t>До</t>
        </is>
      </c>
      <c r="D300" s="15">
        <f>B300/B299-1</f>
        <v/>
      </c>
      <c r="E300" s="16">
        <f>LN(B300/B299)</f>
        <v/>
      </c>
      <c r="F300" s="15">
        <f>_xlfn.STDEV.S(OFFSET(D300,-Описание!$B$12,0,Описание!$B$12,1))</f>
        <v/>
      </c>
      <c r="G300" s="15">
        <f>SQRT(Описание!$B$13*G299^2+(1-Описание!$B$13)*D299^2)</f>
        <v/>
      </c>
      <c r="H300" s="17">
        <f>Описание!$B$9*F300*Описание!$B$7</f>
        <v/>
      </c>
      <c r="I300" s="17">
        <f>Описание!$B$9*G300*Описание!$B$7</f>
        <v/>
      </c>
    </row>
    <row r="301">
      <c r="A301" s="13" t="n">
        <v>39146</v>
      </c>
      <c r="B301" s="14" t="n">
        <v>1.3083</v>
      </c>
      <c r="C301" t="inlineStr">
        <is>
          <t>До</t>
        </is>
      </c>
      <c r="D301" s="15">
        <f>B301/B300-1</f>
        <v/>
      </c>
      <c r="E301" s="16">
        <f>LN(B301/B300)</f>
        <v/>
      </c>
      <c r="F301" s="15">
        <f>_xlfn.STDEV.S(OFFSET(D301,-Описание!$B$12,0,Описание!$B$12,1))</f>
        <v/>
      </c>
      <c r="G301" s="15">
        <f>SQRT(Описание!$B$13*G300^2+(1-Описание!$B$13)*D300^2)</f>
        <v/>
      </c>
      <c r="H301" s="17">
        <f>Описание!$B$9*F301*Описание!$B$7</f>
        <v/>
      </c>
      <c r="I301" s="17">
        <f>Описание!$B$9*G301*Описание!$B$7</f>
        <v/>
      </c>
    </row>
    <row r="302">
      <c r="A302" s="13" t="n">
        <v>39147</v>
      </c>
      <c r="B302" s="14" t="n">
        <v>1.31</v>
      </c>
      <c r="C302" t="inlineStr">
        <is>
          <t>До</t>
        </is>
      </c>
      <c r="D302" s="15">
        <f>B302/B301-1</f>
        <v/>
      </c>
      <c r="E302" s="16">
        <f>LN(B302/B301)</f>
        <v/>
      </c>
      <c r="F302" s="15">
        <f>_xlfn.STDEV.S(OFFSET(D302,-Описание!$B$12,0,Описание!$B$12,1))</f>
        <v/>
      </c>
      <c r="G302" s="15">
        <f>SQRT(Описание!$B$13*G301^2+(1-Описание!$B$13)*D301^2)</f>
        <v/>
      </c>
      <c r="H302" s="17">
        <f>Описание!$B$9*F302*Описание!$B$7</f>
        <v/>
      </c>
      <c r="I302" s="17">
        <f>Описание!$B$9*G302*Описание!$B$7</f>
        <v/>
      </c>
    </row>
    <row r="303">
      <c r="A303" s="13" t="n">
        <v>39148</v>
      </c>
      <c r="B303" s="14" t="n">
        <v>1.3135</v>
      </c>
      <c r="C303" t="inlineStr">
        <is>
          <t>До</t>
        </is>
      </c>
      <c r="D303" s="15">
        <f>B303/B302-1</f>
        <v/>
      </c>
      <c r="E303" s="16">
        <f>LN(B303/B302)</f>
        <v/>
      </c>
      <c r="F303" s="15">
        <f>_xlfn.STDEV.S(OFFSET(D303,-Описание!$B$12,0,Описание!$B$12,1))</f>
        <v/>
      </c>
      <c r="G303" s="15">
        <f>SQRT(Описание!$B$13*G302^2+(1-Описание!$B$13)*D302^2)</f>
        <v/>
      </c>
      <c r="H303" s="17">
        <f>Описание!$B$9*F303*Описание!$B$7</f>
        <v/>
      </c>
      <c r="I303" s="17">
        <f>Описание!$B$9*G303*Описание!$B$7</f>
        <v/>
      </c>
    </row>
    <row r="304">
      <c r="A304" s="13" t="n">
        <v>39149</v>
      </c>
      <c r="B304" s="14" t="n">
        <v>1.3152</v>
      </c>
      <c r="C304" t="inlineStr">
        <is>
          <t>До</t>
        </is>
      </c>
      <c r="D304" s="15">
        <f>B304/B303-1</f>
        <v/>
      </c>
      <c r="E304" s="16">
        <f>LN(B304/B303)</f>
        <v/>
      </c>
      <c r="F304" s="15">
        <f>_xlfn.STDEV.S(OFFSET(D304,-Описание!$B$12,0,Описание!$B$12,1))</f>
        <v/>
      </c>
      <c r="G304" s="15">
        <f>SQRT(Описание!$B$13*G303^2+(1-Описание!$B$13)*D303^2)</f>
        <v/>
      </c>
      <c r="H304" s="17">
        <f>Описание!$B$9*F304*Описание!$B$7</f>
        <v/>
      </c>
      <c r="I304" s="17">
        <f>Описание!$B$9*G304*Описание!$B$7</f>
        <v/>
      </c>
    </row>
    <row r="305">
      <c r="A305" s="13" t="n">
        <v>39150</v>
      </c>
      <c r="B305" s="14" t="n">
        <v>1.3155</v>
      </c>
      <c r="C305" t="inlineStr">
        <is>
          <t>До</t>
        </is>
      </c>
      <c r="D305" s="15">
        <f>B305/B304-1</f>
        <v/>
      </c>
      <c r="E305" s="16">
        <f>LN(B305/B304)</f>
        <v/>
      </c>
      <c r="F305" s="15">
        <f>_xlfn.STDEV.S(OFFSET(D305,-Описание!$B$12,0,Описание!$B$12,1))</f>
        <v/>
      </c>
      <c r="G305" s="15">
        <f>SQRT(Описание!$B$13*G304^2+(1-Описание!$B$13)*D304^2)</f>
        <v/>
      </c>
      <c r="H305" s="17">
        <f>Описание!$B$9*F305*Описание!$B$7</f>
        <v/>
      </c>
      <c r="I305" s="17">
        <f>Описание!$B$9*G305*Описание!$B$7</f>
        <v/>
      </c>
    </row>
    <row r="306">
      <c r="A306" s="13" t="n">
        <v>39153</v>
      </c>
      <c r="B306" s="14" t="n">
        <v>1.3156</v>
      </c>
      <c r="C306" t="inlineStr">
        <is>
          <t>До</t>
        </is>
      </c>
      <c r="D306" s="15">
        <f>B306/B305-1</f>
        <v/>
      </c>
      <c r="E306" s="16">
        <f>LN(B306/B305)</f>
        <v/>
      </c>
      <c r="F306" s="15">
        <f>_xlfn.STDEV.S(OFFSET(D306,-Описание!$B$12,0,Описание!$B$12,1))</f>
        <v/>
      </c>
      <c r="G306" s="15">
        <f>SQRT(Описание!$B$13*G305^2+(1-Описание!$B$13)*D305^2)</f>
        <v/>
      </c>
      <c r="H306" s="17">
        <f>Описание!$B$9*F306*Описание!$B$7</f>
        <v/>
      </c>
      <c r="I306" s="17">
        <f>Описание!$B$9*G306*Описание!$B$7</f>
        <v/>
      </c>
    </row>
    <row r="307">
      <c r="A307" s="13" t="n">
        <v>39154</v>
      </c>
      <c r="B307" s="14" t="n">
        <v>1.3218</v>
      </c>
      <c r="C307" t="inlineStr">
        <is>
          <t>До</t>
        </is>
      </c>
      <c r="D307" s="15">
        <f>B307/B306-1</f>
        <v/>
      </c>
      <c r="E307" s="16">
        <f>LN(B307/B306)</f>
        <v/>
      </c>
      <c r="F307" s="15">
        <f>_xlfn.STDEV.S(OFFSET(D307,-Описание!$B$12,0,Описание!$B$12,1))</f>
        <v/>
      </c>
      <c r="G307" s="15">
        <f>SQRT(Описание!$B$13*G306^2+(1-Описание!$B$13)*D306^2)</f>
        <v/>
      </c>
      <c r="H307" s="17">
        <f>Описание!$B$9*F307*Описание!$B$7</f>
        <v/>
      </c>
      <c r="I307" s="17">
        <f>Описание!$B$9*G307*Описание!$B$7</f>
        <v/>
      </c>
    </row>
    <row r="308">
      <c r="A308" s="13" t="n">
        <v>39155</v>
      </c>
      <c r="B308" s="14" t="n">
        <v>1.3183</v>
      </c>
      <c r="C308" t="inlineStr">
        <is>
          <t>До</t>
        </is>
      </c>
      <c r="D308" s="15">
        <f>B308/B307-1</f>
        <v/>
      </c>
      <c r="E308" s="16">
        <f>LN(B308/B307)</f>
        <v/>
      </c>
      <c r="F308" s="15">
        <f>_xlfn.STDEV.S(OFFSET(D308,-Описание!$B$12,0,Описание!$B$12,1))</f>
        <v/>
      </c>
      <c r="G308" s="15">
        <f>SQRT(Описание!$B$13*G307^2+(1-Описание!$B$13)*D307^2)</f>
        <v/>
      </c>
      <c r="H308" s="17">
        <f>Описание!$B$9*F308*Описание!$B$7</f>
        <v/>
      </c>
      <c r="I308" s="17">
        <f>Описание!$B$9*G308*Описание!$B$7</f>
        <v/>
      </c>
    </row>
    <row r="309">
      <c r="A309" s="13" t="n">
        <v>39156</v>
      </c>
      <c r="B309" s="14" t="n">
        <v>1.3226</v>
      </c>
      <c r="C309" t="inlineStr">
        <is>
          <t>До</t>
        </is>
      </c>
      <c r="D309" s="15">
        <f>B309/B308-1</f>
        <v/>
      </c>
      <c r="E309" s="16">
        <f>LN(B309/B308)</f>
        <v/>
      </c>
      <c r="F309" s="15">
        <f>_xlfn.STDEV.S(OFFSET(D309,-Описание!$B$12,0,Описание!$B$12,1))</f>
        <v/>
      </c>
      <c r="G309" s="15">
        <f>SQRT(Описание!$B$13*G308^2+(1-Описание!$B$13)*D308^2)</f>
        <v/>
      </c>
      <c r="H309" s="17">
        <f>Описание!$B$9*F309*Описание!$B$7</f>
        <v/>
      </c>
      <c r="I309" s="17">
        <f>Описание!$B$9*G309*Описание!$B$7</f>
        <v/>
      </c>
    </row>
    <row r="310">
      <c r="A310" s="13" t="n">
        <v>39157</v>
      </c>
      <c r="B310" s="14" t="n">
        <v>1.3325</v>
      </c>
      <c r="C310" t="inlineStr">
        <is>
          <t>До</t>
        </is>
      </c>
      <c r="D310" s="15">
        <f>B310/B309-1</f>
        <v/>
      </c>
      <c r="E310" s="16">
        <f>LN(B310/B309)</f>
        <v/>
      </c>
      <c r="F310" s="15">
        <f>_xlfn.STDEV.S(OFFSET(D310,-Описание!$B$12,0,Описание!$B$12,1))</f>
        <v/>
      </c>
      <c r="G310" s="15">
        <f>SQRT(Описание!$B$13*G309^2+(1-Описание!$B$13)*D309^2)</f>
        <v/>
      </c>
      <c r="H310" s="17">
        <f>Описание!$B$9*F310*Описание!$B$7</f>
        <v/>
      </c>
      <c r="I310" s="17">
        <f>Описание!$B$9*G310*Описание!$B$7</f>
        <v/>
      </c>
    </row>
    <row r="311">
      <c r="A311" s="13" t="n">
        <v>39160</v>
      </c>
      <c r="B311" s="14" t="n">
        <v>1.3303</v>
      </c>
      <c r="C311" t="inlineStr">
        <is>
          <t>До</t>
        </is>
      </c>
      <c r="D311" s="15">
        <f>B311/B310-1</f>
        <v/>
      </c>
      <c r="E311" s="16">
        <f>LN(B311/B310)</f>
        <v/>
      </c>
      <c r="F311" s="15">
        <f>_xlfn.STDEV.S(OFFSET(D311,-Описание!$B$12,0,Описание!$B$12,1))</f>
        <v/>
      </c>
      <c r="G311" s="15">
        <f>SQRT(Описание!$B$13*G310^2+(1-Описание!$B$13)*D310^2)</f>
        <v/>
      </c>
      <c r="H311" s="17">
        <f>Описание!$B$9*F311*Описание!$B$7</f>
        <v/>
      </c>
      <c r="I311" s="17">
        <f>Описание!$B$9*G311*Описание!$B$7</f>
        <v/>
      </c>
    </row>
    <row r="312">
      <c r="A312" s="13" t="n">
        <v>39161</v>
      </c>
      <c r="B312" s="14" t="n">
        <v>1.3296</v>
      </c>
      <c r="C312" t="inlineStr">
        <is>
          <t>До</t>
        </is>
      </c>
      <c r="D312" s="15">
        <f>B312/B311-1</f>
        <v/>
      </c>
      <c r="E312" s="16">
        <f>LN(B312/B311)</f>
        <v/>
      </c>
      <c r="F312" s="15">
        <f>_xlfn.STDEV.S(OFFSET(D312,-Описание!$B$12,0,Описание!$B$12,1))</f>
        <v/>
      </c>
      <c r="G312" s="15">
        <f>SQRT(Описание!$B$13*G311^2+(1-Описание!$B$13)*D311^2)</f>
        <v/>
      </c>
      <c r="H312" s="17">
        <f>Описание!$B$9*F312*Описание!$B$7</f>
        <v/>
      </c>
      <c r="I312" s="17">
        <f>Описание!$B$9*G312*Описание!$B$7</f>
        <v/>
      </c>
    </row>
    <row r="313">
      <c r="A313" s="13" t="n">
        <v>39162</v>
      </c>
      <c r="B313" s="14" t="n">
        <v>1.3293</v>
      </c>
      <c r="C313" t="inlineStr">
        <is>
          <t>До</t>
        </is>
      </c>
      <c r="D313" s="15">
        <f>B313/B312-1</f>
        <v/>
      </c>
      <c r="E313" s="16">
        <f>LN(B313/B312)</f>
        <v/>
      </c>
      <c r="F313" s="15">
        <f>_xlfn.STDEV.S(OFFSET(D313,-Описание!$B$12,0,Описание!$B$12,1))</f>
        <v/>
      </c>
      <c r="G313" s="15">
        <f>SQRT(Описание!$B$13*G312^2+(1-Описание!$B$13)*D312^2)</f>
        <v/>
      </c>
      <c r="H313" s="17">
        <f>Описание!$B$9*F313*Описание!$B$7</f>
        <v/>
      </c>
      <c r="I313" s="17">
        <f>Описание!$B$9*G313*Описание!$B$7</f>
        <v/>
      </c>
    </row>
    <row r="314">
      <c r="A314" s="13" t="n">
        <v>39163</v>
      </c>
      <c r="B314" s="14" t="n">
        <v>1.3351</v>
      </c>
      <c r="C314" t="inlineStr">
        <is>
          <t>До</t>
        </is>
      </c>
      <c r="D314" s="15">
        <f>B314/B313-1</f>
        <v/>
      </c>
      <c r="E314" s="16">
        <f>LN(B314/B313)</f>
        <v/>
      </c>
      <c r="F314" s="15">
        <f>_xlfn.STDEV.S(OFFSET(D314,-Описание!$B$12,0,Описание!$B$12,1))</f>
        <v/>
      </c>
      <c r="G314" s="15">
        <f>SQRT(Описание!$B$13*G313^2+(1-Описание!$B$13)*D313^2)</f>
        <v/>
      </c>
      <c r="H314" s="17">
        <f>Описание!$B$9*F314*Описание!$B$7</f>
        <v/>
      </c>
      <c r="I314" s="17">
        <f>Описание!$B$9*G314*Описание!$B$7</f>
        <v/>
      </c>
    </row>
    <row r="315">
      <c r="A315" s="13" t="n">
        <v>39164</v>
      </c>
      <c r="B315" s="14" t="n">
        <v>1.3327</v>
      </c>
      <c r="C315" t="inlineStr">
        <is>
          <t>До</t>
        </is>
      </c>
      <c r="D315" s="15">
        <f>B315/B314-1</f>
        <v/>
      </c>
      <c r="E315" s="16">
        <f>LN(B315/B314)</f>
        <v/>
      </c>
      <c r="F315" s="15">
        <f>_xlfn.STDEV.S(OFFSET(D315,-Описание!$B$12,0,Описание!$B$12,1))</f>
        <v/>
      </c>
      <c r="G315" s="15">
        <f>SQRT(Описание!$B$13*G314^2+(1-Описание!$B$13)*D314^2)</f>
        <v/>
      </c>
      <c r="H315" s="17">
        <f>Описание!$B$9*F315*Описание!$B$7</f>
        <v/>
      </c>
      <c r="I315" s="17">
        <f>Описание!$B$9*G315*Описание!$B$7</f>
        <v/>
      </c>
    </row>
    <row r="316">
      <c r="A316" s="13" t="n">
        <v>39167</v>
      </c>
      <c r="B316" s="14" t="n">
        <v>1.3265</v>
      </c>
      <c r="C316" t="inlineStr">
        <is>
          <t>До</t>
        </is>
      </c>
      <c r="D316" s="15">
        <f>B316/B315-1</f>
        <v/>
      </c>
      <c r="E316" s="16">
        <f>LN(B316/B315)</f>
        <v/>
      </c>
      <c r="F316" s="15">
        <f>_xlfn.STDEV.S(OFFSET(D316,-Описание!$B$12,0,Описание!$B$12,1))</f>
        <v/>
      </c>
      <c r="G316" s="15">
        <f>SQRT(Описание!$B$13*G315^2+(1-Описание!$B$13)*D315^2)</f>
        <v/>
      </c>
      <c r="H316" s="17">
        <f>Описание!$B$9*F316*Описание!$B$7</f>
        <v/>
      </c>
      <c r="I316" s="17">
        <f>Описание!$B$9*G316*Описание!$B$7</f>
        <v/>
      </c>
    </row>
    <row r="317">
      <c r="A317" s="13" t="n">
        <v>39168</v>
      </c>
      <c r="B317" s="14" t="n">
        <v>1.3347</v>
      </c>
      <c r="C317" t="inlineStr">
        <is>
          <t>До</t>
        </is>
      </c>
      <c r="D317" s="15">
        <f>B317/B316-1</f>
        <v/>
      </c>
      <c r="E317" s="16">
        <f>LN(B317/B316)</f>
        <v/>
      </c>
      <c r="F317" s="15">
        <f>_xlfn.STDEV.S(OFFSET(D317,-Описание!$B$12,0,Описание!$B$12,1))</f>
        <v/>
      </c>
      <c r="G317" s="15">
        <f>SQRT(Описание!$B$13*G316^2+(1-Описание!$B$13)*D316^2)</f>
        <v/>
      </c>
      <c r="H317" s="17">
        <f>Описание!$B$9*F317*Описание!$B$7</f>
        <v/>
      </c>
      <c r="I317" s="17">
        <f>Описание!$B$9*G317*Описание!$B$7</f>
        <v/>
      </c>
    </row>
    <row r="318">
      <c r="A318" s="13" t="n">
        <v>39169</v>
      </c>
      <c r="B318" s="14" t="n">
        <v>1.3348</v>
      </c>
      <c r="C318" t="inlineStr">
        <is>
          <t>До</t>
        </is>
      </c>
      <c r="D318" s="15">
        <f>B318/B317-1</f>
        <v/>
      </c>
      <c r="E318" s="16">
        <f>LN(B318/B317)</f>
        <v/>
      </c>
      <c r="F318" s="15">
        <f>_xlfn.STDEV.S(OFFSET(D318,-Описание!$B$12,0,Описание!$B$12,1))</f>
        <v/>
      </c>
      <c r="G318" s="15">
        <f>SQRT(Описание!$B$13*G317^2+(1-Описание!$B$13)*D317^2)</f>
        <v/>
      </c>
      <c r="H318" s="17">
        <f>Описание!$B$9*F318*Описание!$B$7</f>
        <v/>
      </c>
      <c r="I318" s="17">
        <f>Описание!$B$9*G318*Описание!$B$7</f>
        <v/>
      </c>
    </row>
    <row r="319">
      <c r="A319" s="13" t="n">
        <v>39170</v>
      </c>
      <c r="B319" s="14" t="n">
        <v>1.3352</v>
      </c>
      <c r="C319" t="inlineStr">
        <is>
          <t>До</t>
        </is>
      </c>
      <c r="D319" s="15">
        <f>B319/B318-1</f>
        <v/>
      </c>
      <c r="E319" s="16">
        <f>LN(B319/B318)</f>
        <v/>
      </c>
      <c r="F319" s="15">
        <f>_xlfn.STDEV.S(OFFSET(D319,-Описание!$B$12,0,Описание!$B$12,1))</f>
        <v/>
      </c>
      <c r="G319" s="15">
        <f>SQRT(Описание!$B$13*G318^2+(1-Описание!$B$13)*D318^2)</f>
        <v/>
      </c>
      <c r="H319" s="17">
        <f>Описание!$B$9*F319*Описание!$B$7</f>
        <v/>
      </c>
      <c r="I319" s="17">
        <f>Описание!$B$9*G319*Описание!$B$7</f>
        <v/>
      </c>
    </row>
    <row r="320">
      <c r="A320" s="13" t="n">
        <v>39171</v>
      </c>
      <c r="B320" s="14" t="n">
        <v>1.3318</v>
      </c>
      <c r="C320" t="inlineStr">
        <is>
          <t>До</t>
        </is>
      </c>
      <c r="D320" s="15">
        <f>B320/B319-1</f>
        <v/>
      </c>
      <c r="E320" s="16">
        <f>LN(B320/B319)</f>
        <v/>
      </c>
      <c r="F320" s="15">
        <f>_xlfn.STDEV.S(OFFSET(D320,-Описание!$B$12,0,Описание!$B$12,1))</f>
        <v/>
      </c>
      <c r="G320" s="15">
        <f>SQRT(Описание!$B$13*G319^2+(1-Описание!$B$13)*D319^2)</f>
        <v/>
      </c>
      <c r="H320" s="17">
        <f>Описание!$B$9*F320*Описание!$B$7</f>
        <v/>
      </c>
      <c r="I320" s="17">
        <f>Описание!$B$9*G320*Описание!$B$7</f>
        <v/>
      </c>
    </row>
    <row r="321">
      <c r="A321" s="13" t="n">
        <v>39174</v>
      </c>
      <c r="B321" s="14" t="n">
        <v>1.3366</v>
      </c>
      <c r="C321" t="inlineStr">
        <is>
          <t>До</t>
        </is>
      </c>
      <c r="D321" s="15">
        <f>B321/B320-1</f>
        <v/>
      </c>
      <c r="E321" s="16">
        <f>LN(B321/B320)</f>
        <v/>
      </c>
      <c r="F321" s="15">
        <f>_xlfn.STDEV.S(OFFSET(D321,-Описание!$B$12,0,Описание!$B$12,1))</f>
        <v/>
      </c>
      <c r="G321" s="15">
        <f>SQRT(Описание!$B$13*G320^2+(1-Описание!$B$13)*D320^2)</f>
        <v/>
      </c>
      <c r="H321" s="17">
        <f>Описание!$B$9*F321*Описание!$B$7</f>
        <v/>
      </c>
      <c r="I321" s="17">
        <f>Описание!$B$9*G321*Описание!$B$7</f>
        <v/>
      </c>
    </row>
    <row r="322">
      <c r="A322" s="13" t="n">
        <v>39175</v>
      </c>
      <c r="B322" s="14" t="n">
        <v>1.3358</v>
      </c>
      <c r="C322" t="inlineStr">
        <is>
          <t>До</t>
        </is>
      </c>
      <c r="D322" s="15">
        <f>B322/B321-1</f>
        <v/>
      </c>
      <c r="E322" s="16">
        <f>LN(B322/B321)</f>
        <v/>
      </c>
      <c r="F322" s="15">
        <f>_xlfn.STDEV.S(OFFSET(D322,-Описание!$B$12,0,Описание!$B$12,1))</f>
        <v/>
      </c>
      <c r="G322" s="15">
        <f>SQRT(Описание!$B$13*G321^2+(1-Описание!$B$13)*D321^2)</f>
        <v/>
      </c>
      <c r="H322" s="17">
        <f>Описание!$B$9*F322*Описание!$B$7</f>
        <v/>
      </c>
      <c r="I322" s="17">
        <f>Описание!$B$9*G322*Описание!$B$7</f>
        <v/>
      </c>
    </row>
    <row r="323">
      <c r="A323" s="13" t="n">
        <v>39176</v>
      </c>
      <c r="B323" s="14" t="n">
        <v>1.3352</v>
      </c>
      <c r="C323" t="inlineStr">
        <is>
          <t>До</t>
        </is>
      </c>
      <c r="D323" s="15">
        <f>B323/B322-1</f>
        <v/>
      </c>
      <c r="E323" s="16">
        <f>LN(B323/B322)</f>
        <v/>
      </c>
      <c r="F323" s="15">
        <f>_xlfn.STDEV.S(OFFSET(D323,-Описание!$B$12,0,Описание!$B$12,1))</f>
        <v/>
      </c>
      <c r="G323" s="15">
        <f>SQRT(Описание!$B$13*G322^2+(1-Описание!$B$13)*D322^2)</f>
        <v/>
      </c>
      <c r="H323" s="17">
        <f>Описание!$B$9*F323*Описание!$B$7</f>
        <v/>
      </c>
      <c r="I323" s="17">
        <f>Описание!$B$9*G323*Описание!$B$7</f>
        <v/>
      </c>
    </row>
    <row r="324">
      <c r="A324" s="13" t="n">
        <v>39177</v>
      </c>
      <c r="B324" s="14" t="n">
        <v>1.3373</v>
      </c>
      <c r="C324" t="inlineStr">
        <is>
          <t>До</t>
        </is>
      </c>
      <c r="D324" s="15">
        <f>B324/B323-1</f>
        <v/>
      </c>
      <c r="E324" s="16">
        <f>LN(B324/B323)</f>
        <v/>
      </c>
      <c r="F324" s="15">
        <f>_xlfn.STDEV.S(OFFSET(D324,-Описание!$B$12,0,Описание!$B$12,1))</f>
        <v/>
      </c>
      <c r="G324" s="15">
        <f>SQRT(Описание!$B$13*G323^2+(1-Описание!$B$13)*D323^2)</f>
        <v/>
      </c>
      <c r="H324" s="17">
        <f>Описание!$B$9*F324*Описание!$B$7</f>
        <v/>
      </c>
      <c r="I324" s="17">
        <f>Описание!$B$9*G324*Описание!$B$7</f>
        <v/>
      </c>
    </row>
    <row r="325">
      <c r="A325" s="13" t="n">
        <v>39182</v>
      </c>
      <c r="B325" s="14" t="n">
        <v>1.3426</v>
      </c>
      <c r="C325" t="inlineStr">
        <is>
          <t>До</t>
        </is>
      </c>
      <c r="D325" s="15">
        <f>B325/B324-1</f>
        <v/>
      </c>
      <c r="E325" s="16">
        <f>LN(B325/B324)</f>
        <v/>
      </c>
      <c r="F325" s="15">
        <f>_xlfn.STDEV.S(OFFSET(D325,-Описание!$B$12,0,Описание!$B$12,1))</f>
        <v/>
      </c>
      <c r="G325" s="15">
        <f>SQRT(Описание!$B$13*G324^2+(1-Описание!$B$13)*D324^2)</f>
        <v/>
      </c>
      <c r="H325" s="17">
        <f>Описание!$B$9*F325*Описание!$B$7</f>
        <v/>
      </c>
      <c r="I325" s="17">
        <f>Описание!$B$9*G325*Описание!$B$7</f>
        <v/>
      </c>
    </row>
    <row r="326">
      <c r="A326" s="13" t="n">
        <v>39183</v>
      </c>
      <c r="B326" s="14" t="n">
        <v>1.3418</v>
      </c>
      <c r="C326" t="inlineStr">
        <is>
          <t>До</t>
        </is>
      </c>
      <c r="D326" s="15">
        <f>B326/B325-1</f>
        <v/>
      </c>
      <c r="E326" s="16">
        <f>LN(B326/B325)</f>
        <v/>
      </c>
      <c r="F326" s="15">
        <f>_xlfn.STDEV.S(OFFSET(D326,-Описание!$B$12,0,Описание!$B$12,1))</f>
        <v/>
      </c>
      <c r="G326" s="15">
        <f>SQRT(Описание!$B$13*G325^2+(1-Описание!$B$13)*D325^2)</f>
        <v/>
      </c>
      <c r="H326" s="17">
        <f>Описание!$B$9*F326*Описание!$B$7</f>
        <v/>
      </c>
      <c r="I326" s="17">
        <f>Описание!$B$9*G326*Описание!$B$7</f>
        <v/>
      </c>
    </row>
    <row r="327">
      <c r="A327" s="13" t="n">
        <v>39184</v>
      </c>
      <c r="B327" s="14" t="n">
        <v>1.3467</v>
      </c>
      <c r="C327" t="inlineStr">
        <is>
          <t>До</t>
        </is>
      </c>
      <c r="D327" s="15">
        <f>B327/B326-1</f>
        <v/>
      </c>
      <c r="E327" s="16">
        <f>LN(B327/B326)</f>
        <v/>
      </c>
      <c r="F327" s="15">
        <f>_xlfn.STDEV.S(OFFSET(D327,-Описание!$B$12,0,Описание!$B$12,1))</f>
        <v/>
      </c>
      <c r="G327" s="15">
        <f>SQRT(Описание!$B$13*G326^2+(1-Описание!$B$13)*D326^2)</f>
        <v/>
      </c>
      <c r="H327" s="17">
        <f>Описание!$B$9*F327*Описание!$B$7</f>
        <v/>
      </c>
      <c r="I327" s="17">
        <f>Описание!$B$9*G327*Описание!$B$7</f>
        <v/>
      </c>
    </row>
    <row r="328">
      <c r="A328" s="13" t="n">
        <v>39185</v>
      </c>
      <c r="B328" s="14" t="n">
        <v>1.3532</v>
      </c>
      <c r="C328" t="inlineStr">
        <is>
          <t>До</t>
        </is>
      </c>
      <c r="D328" s="15">
        <f>B328/B327-1</f>
        <v/>
      </c>
      <c r="E328" s="16">
        <f>LN(B328/B327)</f>
        <v/>
      </c>
      <c r="F328" s="15">
        <f>_xlfn.STDEV.S(OFFSET(D328,-Описание!$B$12,0,Описание!$B$12,1))</f>
        <v/>
      </c>
      <c r="G328" s="15">
        <f>SQRT(Описание!$B$13*G327^2+(1-Описание!$B$13)*D327^2)</f>
        <v/>
      </c>
      <c r="H328" s="17">
        <f>Описание!$B$9*F328*Описание!$B$7</f>
        <v/>
      </c>
      <c r="I328" s="17">
        <f>Описание!$B$9*G328*Описание!$B$7</f>
        <v/>
      </c>
    </row>
    <row r="329">
      <c r="A329" s="13" t="n">
        <v>39188</v>
      </c>
      <c r="B329" s="14" t="n">
        <v>1.355</v>
      </c>
      <c r="C329" t="inlineStr">
        <is>
          <t>До</t>
        </is>
      </c>
      <c r="D329" s="15">
        <f>B329/B328-1</f>
        <v/>
      </c>
      <c r="E329" s="16">
        <f>LN(B329/B328)</f>
        <v/>
      </c>
      <c r="F329" s="15">
        <f>_xlfn.STDEV.S(OFFSET(D329,-Описание!$B$12,0,Описание!$B$12,1))</f>
        <v/>
      </c>
      <c r="G329" s="15">
        <f>SQRT(Описание!$B$13*G328^2+(1-Описание!$B$13)*D328^2)</f>
        <v/>
      </c>
      <c r="H329" s="17">
        <f>Описание!$B$9*F329*Описание!$B$7</f>
        <v/>
      </c>
      <c r="I329" s="17">
        <f>Описание!$B$9*G329*Описание!$B$7</f>
        <v/>
      </c>
    </row>
    <row r="330">
      <c r="A330" s="13" t="n">
        <v>39189</v>
      </c>
      <c r="B330" s="14" t="n">
        <v>1.3549</v>
      </c>
      <c r="C330" t="inlineStr">
        <is>
          <t>До</t>
        </is>
      </c>
      <c r="D330" s="15">
        <f>B330/B329-1</f>
        <v/>
      </c>
      <c r="E330" s="16">
        <f>LN(B330/B329)</f>
        <v/>
      </c>
      <c r="F330" s="15">
        <f>_xlfn.STDEV.S(OFFSET(D330,-Описание!$B$12,0,Описание!$B$12,1))</f>
        <v/>
      </c>
      <c r="G330" s="15">
        <f>SQRT(Описание!$B$13*G329^2+(1-Описание!$B$13)*D329^2)</f>
        <v/>
      </c>
      <c r="H330" s="17">
        <f>Описание!$B$9*F330*Описание!$B$7</f>
        <v/>
      </c>
      <c r="I330" s="17">
        <f>Описание!$B$9*G330*Описание!$B$7</f>
        <v/>
      </c>
    </row>
    <row r="331">
      <c r="A331" s="13" t="n">
        <v>39190</v>
      </c>
      <c r="B331" s="14" t="n">
        <v>1.3577</v>
      </c>
      <c r="C331" t="inlineStr">
        <is>
          <t>До</t>
        </is>
      </c>
      <c r="D331" s="15">
        <f>B331/B330-1</f>
        <v/>
      </c>
      <c r="E331" s="16">
        <f>LN(B331/B330)</f>
        <v/>
      </c>
      <c r="F331" s="15">
        <f>_xlfn.STDEV.S(OFFSET(D331,-Описание!$B$12,0,Описание!$B$12,1))</f>
        <v/>
      </c>
      <c r="G331" s="15">
        <f>SQRT(Описание!$B$13*G330^2+(1-Описание!$B$13)*D330^2)</f>
        <v/>
      </c>
      <c r="H331" s="17">
        <f>Описание!$B$9*F331*Описание!$B$7</f>
        <v/>
      </c>
      <c r="I331" s="17">
        <f>Описание!$B$9*G331*Описание!$B$7</f>
        <v/>
      </c>
    </row>
    <row r="332">
      <c r="A332" s="13" t="n">
        <v>39191</v>
      </c>
      <c r="B332" s="14" t="n">
        <v>1.3601</v>
      </c>
      <c r="C332" t="inlineStr">
        <is>
          <t>До</t>
        </is>
      </c>
      <c r="D332" s="15">
        <f>B332/B331-1</f>
        <v/>
      </c>
      <c r="E332" s="16">
        <f>LN(B332/B331)</f>
        <v/>
      </c>
      <c r="F332" s="15">
        <f>_xlfn.STDEV.S(OFFSET(D332,-Описание!$B$12,0,Описание!$B$12,1))</f>
        <v/>
      </c>
      <c r="G332" s="15">
        <f>SQRT(Описание!$B$13*G331^2+(1-Описание!$B$13)*D331^2)</f>
        <v/>
      </c>
      <c r="H332" s="17">
        <f>Описание!$B$9*F332*Описание!$B$7</f>
        <v/>
      </c>
      <c r="I332" s="17">
        <f>Описание!$B$9*G332*Описание!$B$7</f>
        <v/>
      </c>
    </row>
    <row r="333">
      <c r="A333" s="13" t="n">
        <v>39192</v>
      </c>
      <c r="B333" s="14" t="n">
        <v>1.3606</v>
      </c>
      <c r="C333" t="inlineStr">
        <is>
          <t>До</t>
        </is>
      </c>
      <c r="D333" s="15">
        <f>B333/B332-1</f>
        <v/>
      </c>
      <c r="E333" s="16">
        <f>LN(B333/B332)</f>
        <v/>
      </c>
      <c r="F333" s="15">
        <f>_xlfn.STDEV.S(OFFSET(D333,-Описание!$B$12,0,Описание!$B$12,1))</f>
        <v/>
      </c>
      <c r="G333" s="15">
        <f>SQRT(Описание!$B$13*G332^2+(1-Описание!$B$13)*D332^2)</f>
        <v/>
      </c>
      <c r="H333" s="17">
        <f>Описание!$B$9*F333*Описание!$B$7</f>
        <v/>
      </c>
      <c r="I333" s="17">
        <f>Описание!$B$9*G333*Описание!$B$7</f>
        <v/>
      </c>
    </row>
    <row r="334">
      <c r="A334" s="13" t="n">
        <v>39195</v>
      </c>
      <c r="B334" s="14" t="n">
        <v>1.3557</v>
      </c>
      <c r="C334" t="inlineStr">
        <is>
          <t>До</t>
        </is>
      </c>
      <c r="D334" s="15">
        <f>B334/B333-1</f>
        <v/>
      </c>
      <c r="E334" s="16">
        <f>LN(B334/B333)</f>
        <v/>
      </c>
      <c r="F334" s="15">
        <f>_xlfn.STDEV.S(OFFSET(D334,-Описание!$B$12,0,Описание!$B$12,1))</f>
        <v/>
      </c>
      <c r="G334" s="15">
        <f>SQRT(Описание!$B$13*G333^2+(1-Описание!$B$13)*D333^2)</f>
        <v/>
      </c>
      <c r="H334" s="17">
        <f>Описание!$B$9*F334*Описание!$B$7</f>
        <v/>
      </c>
      <c r="I334" s="17">
        <f>Описание!$B$9*G334*Описание!$B$7</f>
        <v/>
      </c>
    </row>
    <row r="335">
      <c r="A335" s="13" t="n">
        <v>39196</v>
      </c>
      <c r="B335" s="14" t="n">
        <v>1.3582</v>
      </c>
      <c r="C335" t="inlineStr">
        <is>
          <t>До</t>
        </is>
      </c>
      <c r="D335" s="15">
        <f>B335/B334-1</f>
        <v/>
      </c>
      <c r="E335" s="16">
        <f>LN(B335/B334)</f>
        <v/>
      </c>
      <c r="F335" s="15">
        <f>_xlfn.STDEV.S(OFFSET(D335,-Описание!$B$12,0,Описание!$B$12,1))</f>
        <v/>
      </c>
      <c r="G335" s="15">
        <f>SQRT(Описание!$B$13*G334^2+(1-Описание!$B$13)*D334^2)</f>
        <v/>
      </c>
      <c r="H335" s="17">
        <f>Описание!$B$9*F335*Описание!$B$7</f>
        <v/>
      </c>
      <c r="I335" s="17">
        <f>Описание!$B$9*G335*Описание!$B$7</f>
        <v/>
      </c>
    </row>
    <row r="336">
      <c r="A336" s="13" t="n">
        <v>39197</v>
      </c>
      <c r="B336" s="14" t="n">
        <v>1.3649</v>
      </c>
      <c r="C336" t="inlineStr">
        <is>
          <t>До</t>
        </is>
      </c>
      <c r="D336" s="15">
        <f>B336/B335-1</f>
        <v/>
      </c>
      <c r="E336" s="16">
        <f>LN(B336/B335)</f>
        <v/>
      </c>
      <c r="F336" s="15">
        <f>_xlfn.STDEV.S(OFFSET(D336,-Описание!$B$12,0,Описание!$B$12,1))</f>
        <v/>
      </c>
      <c r="G336" s="15">
        <f>SQRT(Описание!$B$13*G335^2+(1-Описание!$B$13)*D335^2)</f>
        <v/>
      </c>
      <c r="H336" s="17">
        <f>Описание!$B$9*F336*Описание!$B$7</f>
        <v/>
      </c>
      <c r="I336" s="17">
        <f>Описание!$B$9*G336*Описание!$B$7</f>
        <v/>
      </c>
    </row>
    <row r="337">
      <c r="A337" s="13" t="n">
        <v>39198</v>
      </c>
      <c r="B337" s="14" t="n">
        <v>1.3596</v>
      </c>
      <c r="C337" t="inlineStr">
        <is>
          <t>До</t>
        </is>
      </c>
      <c r="D337" s="15">
        <f>B337/B336-1</f>
        <v/>
      </c>
      <c r="E337" s="16">
        <f>LN(B337/B336)</f>
        <v/>
      </c>
      <c r="F337" s="15">
        <f>_xlfn.STDEV.S(OFFSET(D337,-Описание!$B$12,0,Описание!$B$12,1))</f>
        <v/>
      </c>
      <c r="G337" s="15">
        <f>SQRT(Описание!$B$13*G336^2+(1-Описание!$B$13)*D336^2)</f>
        <v/>
      </c>
      <c r="H337" s="17">
        <f>Описание!$B$9*F337*Описание!$B$7</f>
        <v/>
      </c>
      <c r="I337" s="17">
        <f>Описание!$B$9*G337*Описание!$B$7</f>
        <v/>
      </c>
    </row>
    <row r="338">
      <c r="A338" s="13" t="n">
        <v>39199</v>
      </c>
      <c r="B338" s="14" t="n">
        <v>1.3643</v>
      </c>
      <c r="C338" t="inlineStr">
        <is>
          <t>До</t>
        </is>
      </c>
      <c r="D338" s="15">
        <f>B338/B337-1</f>
        <v/>
      </c>
      <c r="E338" s="16">
        <f>LN(B338/B337)</f>
        <v/>
      </c>
      <c r="F338" s="15">
        <f>_xlfn.STDEV.S(OFFSET(D338,-Описание!$B$12,0,Описание!$B$12,1))</f>
        <v/>
      </c>
      <c r="G338" s="15">
        <f>SQRT(Описание!$B$13*G337^2+(1-Описание!$B$13)*D337^2)</f>
        <v/>
      </c>
      <c r="H338" s="17">
        <f>Описание!$B$9*F338*Описание!$B$7</f>
        <v/>
      </c>
      <c r="I338" s="17">
        <f>Описание!$B$9*G338*Описание!$B$7</f>
        <v/>
      </c>
    </row>
    <row r="339">
      <c r="A339" s="13" t="n">
        <v>39202</v>
      </c>
      <c r="B339" s="14" t="n">
        <v>1.3605</v>
      </c>
      <c r="C339" t="inlineStr">
        <is>
          <t>До</t>
        </is>
      </c>
      <c r="D339" s="15">
        <f>B339/B338-1</f>
        <v/>
      </c>
      <c r="E339" s="16">
        <f>LN(B339/B338)</f>
        <v/>
      </c>
      <c r="F339" s="15">
        <f>_xlfn.STDEV.S(OFFSET(D339,-Описание!$B$12,0,Описание!$B$12,1))</f>
        <v/>
      </c>
      <c r="G339" s="15">
        <f>SQRT(Описание!$B$13*G338^2+(1-Описание!$B$13)*D338^2)</f>
        <v/>
      </c>
      <c r="H339" s="17">
        <f>Описание!$B$9*F339*Описание!$B$7</f>
        <v/>
      </c>
      <c r="I339" s="17">
        <f>Описание!$B$9*G339*Описание!$B$7</f>
        <v/>
      </c>
    </row>
    <row r="340">
      <c r="A340" s="13" t="n">
        <v>39204</v>
      </c>
      <c r="B340" s="14" t="n">
        <v>1.3588</v>
      </c>
      <c r="C340" t="inlineStr">
        <is>
          <t>До</t>
        </is>
      </c>
      <c r="D340" s="15">
        <f>B340/B339-1</f>
        <v/>
      </c>
      <c r="E340" s="16">
        <f>LN(B340/B339)</f>
        <v/>
      </c>
      <c r="F340" s="15">
        <f>_xlfn.STDEV.S(OFFSET(D340,-Описание!$B$12,0,Описание!$B$12,1))</f>
        <v/>
      </c>
      <c r="G340" s="15">
        <f>SQRT(Описание!$B$13*G339^2+(1-Описание!$B$13)*D339^2)</f>
        <v/>
      </c>
      <c r="H340" s="17">
        <f>Описание!$B$9*F340*Описание!$B$7</f>
        <v/>
      </c>
      <c r="I340" s="17">
        <f>Описание!$B$9*G340*Описание!$B$7</f>
        <v/>
      </c>
    </row>
    <row r="341">
      <c r="A341" s="13" t="n">
        <v>39205</v>
      </c>
      <c r="B341" s="14" t="n">
        <v>1.3613</v>
      </c>
      <c r="C341" t="inlineStr">
        <is>
          <t>До</t>
        </is>
      </c>
      <c r="D341" s="15">
        <f>B341/B340-1</f>
        <v/>
      </c>
      <c r="E341" s="16">
        <f>LN(B341/B340)</f>
        <v/>
      </c>
      <c r="F341" s="15">
        <f>_xlfn.STDEV.S(OFFSET(D341,-Описание!$B$12,0,Описание!$B$12,1))</f>
        <v/>
      </c>
      <c r="G341" s="15">
        <f>SQRT(Описание!$B$13*G340^2+(1-Описание!$B$13)*D340^2)</f>
        <v/>
      </c>
      <c r="H341" s="17">
        <f>Описание!$B$9*F341*Описание!$B$7</f>
        <v/>
      </c>
      <c r="I341" s="17">
        <f>Описание!$B$9*G341*Описание!$B$7</f>
        <v/>
      </c>
    </row>
    <row r="342">
      <c r="A342" s="13" t="n">
        <v>39206</v>
      </c>
      <c r="B342" s="14" t="n">
        <v>1.3561</v>
      </c>
      <c r="C342" t="inlineStr">
        <is>
          <t>До</t>
        </is>
      </c>
      <c r="D342" s="15">
        <f>B342/B341-1</f>
        <v/>
      </c>
      <c r="E342" s="16">
        <f>LN(B342/B341)</f>
        <v/>
      </c>
      <c r="F342" s="15">
        <f>_xlfn.STDEV.S(OFFSET(D342,-Описание!$B$12,0,Описание!$B$12,1))</f>
        <v/>
      </c>
      <c r="G342" s="15">
        <f>SQRT(Описание!$B$13*G341^2+(1-Описание!$B$13)*D341^2)</f>
        <v/>
      </c>
      <c r="H342" s="17">
        <f>Описание!$B$9*F342*Описание!$B$7</f>
        <v/>
      </c>
      <c r="I342" s="17">
        <f>Описание!$B$9*G342*Описание!$B$7</f>
        <v/>
      </c>
    </row>
    <row r="343">
      <c r="A343" s="13" t="n">
        <v>39209</v>
      </c>
      <c r="B343" s="14" t="n">
        <v>1.3615</v>
      </c>
      <c r="C343" t="inlineStr">
        <is>
          <t>До</t>
        </is>
      </c>
      <c r="D343" s="15">
        <f>B343/B342-1</f>
        <v/>
      </c>
      <c r="E343" s="16">
        <f>LN(B343/B342)</f>
        <v/>
      </c>
      <c r="F343" s="15">
        <f>_xlfn.STDEV.S(OFFSET(D343,-Описание!$B$12,0,Описание!$B$12,1))</f>
        <v/>
      </c>
      <c r="G343" s="15">
        <f>SQRT(Описание!$B$13*G342^2+(1-Описание!$B$13)*D342^2)</f>
        <v/>
      </c>
      <c r="H343" s="17">
        <f>Описание!$B$9*F343*Описание!$B$7</f>
        <v/>
      </c>
      <c r="I343" s="17">
        <f>Описание!$B$9*G343*Описание!$B$7</f>
        <v/>
      </c>
    </row>
    <row r="344">
      <c r="A344" s="13" t="n">
        <v>39210</v>
      </c>
      <c r="B344" s="14" t="n">
        <v>1.3558</v>
      </c>
      <c r="C344" t="inlineStr">
        <is>
          <t>До</t>
        </is>
      </c>
      <c r="D344" s="15">
        <f>B344/B343-1</f>
        <v/>
      </c>
      <c r="E344" s="16">
        <f>LN(B344/B343)</f>
        <v/>
      </c>
      <c r="F344" s="15">
        <f>_xlfn.STDEV.S(OFFSET(D344,-Описание!$B$12,0,Описание!$B$12,1))</f>
        <v/>
      </c>
      <c r="G344" s="15">
        <f>SQRT(Описание!$B$13*G343^2+(1-Описание!$B$13)*D343^2)</f>
        <v/>
      </c>
      <c r="H344" s="17">
        <f>Описание!$B$9*F344*Описание!$B$7</f>
        <v/>
      </c>
      <c r="I344" s="17">
        <f>Описание!$B$9*G344*Описание!$B$7</f>
        <v/>
      </c>
    </row>
    <row r="345">
      <c r="A345" s="13" t="n">
        <v>39211</v>
      </c>
      <c r="B345" s="14" t="n">
        <v>1.3535</v>
      </c>
      <c r="C345" t="inlineStr">
        <is>
          <t>До</t>
        </is>
      </c>
      <c r="D345" s="15">
        <f>B345/B344-1</f>
        <v/>
      </c>
      <c r="E345" s="16">
        <f>LN(B345/B344)</f>
        <v/>
      </c>
      <c r="F345" s="15">
        <f>_xlfn.STDEV.S(OFFSET(D345,-Описание!$B$12,0,Описание!$B$12,1))</f>
        <v/>
      </c>
      <c r="G345" s="15">
        <f>SQRT(Описание!$B$13*G344^2+(1-Описание!$B$13)*D344^2)</f>
        <v/>
      </c>
      <c r="H345" s="17">
        <f>Описание!$B$9*F345*Описание!$B$7</f>
        <v/>
      </c>
      <c r="I345" s="17">
        <f>Описание!$B$9*G345*Описание!$B$7</f>
        <v/>
      </c>
    </row>
    <row r="346">
      <c r="A346" s="13" t="n">
        <v>39212</v>
      </c>
      <c r="B346" s="14" t="n">
        <v>1.3527</v>
      </c>
      <c r="C346" t="inlineStr">
        <is>
          <t>До</t>
        </is>
      </c>
      <c r="D346" s="15">
        <f>B346/B345-1</f>
        <v/>
      </c>
      <c r="E346" s="16">
        <f>LN(B346/B345)</f>
        <v/>
      </c>
      <c r="F346" s="15">
        <f>_xlfn.STDEV.S(OFFSET(D346,-Описание!$B$12,0,Описание!$B$12,1))</f>
        <v/>
      </c>
      <c r="G346" s="15">
        <f>SQRT(Описание!$B$13*G345^2+(1-Описание!$B$13)*D345^2)</f>
        <v/>
      </c>
      <c r="H346" s="17">
        <f>Описание!$B$9*F346*Описание!$B$7</f>
        <v/>
      </c>
      <c r="I346" s="17">
        <f>Описание!$B$9*G346*Описание!$B$7</f>
        <v/>
      </c>
    </row>
    <row r="347">
      <c r="A347" s="13" t="n">
        <v>39213</v>
      </c>
      <c r="B347" s="14" t="n">
        <v>1.3486</v>
      </c>
      <c r="C347" t="inlineStr">
        <is>
          <t>До</t>
        </is>
      </c>
      <c r="D347" s="15">
        <f>B347/B346-1</f>
        <v/>
      </c>
      <c r="E347" s="16">
        <f>LN(B347/B346)</f>
        <v/>
      </c>
      <c r="F347" s="15">
        <f>_xlfn.STDEV.S(OFFSET(D347,-Описание!$B$12,0,Описание!$B$12,1))</f>
        <v/>
      </c>
      <c r="G347" s="15">
        <f>SQRT(Описание!$B$13*G346^2+(1-Описание!$B$13)*D346^2)</f>
        <v/>
      </c>
      <c r="H347" s="17">
        <f>Описание!$B$9*F347*Описание!$B$7</f>
        <v/>
      </c>
      <c r="I347" s="17">
        <f>Описание!$B$9*G347*Описание!$B$7</f>
        <v/>
      </c>
    </row>
    <row r="348">
      <c r="A348" s="13" t="n">
        <v>39216</v>
      </c>
      <c r="B348" s="14" t="n">
        <v>1.3549</v>
      </c>
      <c r="C348" t="inlineStr">
        <is>
          <t>До</t>
        </is>
      </c>
      <c r="D348" s="15">
        <f>B348/B347-1</f>
        <v/>
      </c>
      <c r="E348" s="16">
        <f>LN(B348/B347)</f>
        <v/>
      </c>
      <c r="F348" s="15">
        <f>_xlfn.STDEV.S(OFFSET(D348,-Описание!$B$12,0,Описание!$B$12,1))</f>
        <v/>
      </c>
      <c r="G348" s="15">
        <f>SQRT(Описание!$B$13*G347^2+(1-Описание!$B$13)*D347^2)</f>
        <v/>
      </c>
      <c r="H348" s="17">
        <f>Описание!$B$9*F348*Описание!$B$7</f>
        <v/>
      </c>
      <c r="I348" s="17">
        <f>Описание!$B$9*G348*Описание!$B$7</f>
        <v/>
      </c>
    </row>
    <row r="349">
      <c r="A349" s="13" t="n">
        <v>39217</v>
      </c>
      <c r="B349" s="14" t="n">
        <v>1.3538</v>
      </c>
      <c r="C349" t="inlineStr">
        <is>
          <t>До</t>
        </is>
      </c>
      <c r="D349" s="15">
        <f>B349/B348-1</f>
        <v/>
      </c>
      <c r="E349" s="16">
        <f>LN(B349/B348)</f>
        <v/>
      </c>
      <c r="F349" s="15">
        <f>_xlfn.STDEV.S(OFFSET(D349,-Описание!$B$12,0,Описание!$B$12,1))</f>
        <v/>
      </c>
      <c r="G349" s="15">
        <f>SQRT(Описание!$B$13*G348^2+(1-Описание!$B$13)*D348^2)</f>
        <v/>
      </c>
      <c r="H349" s="17">
        <f>Описание!$B$9*F349*Описание!$B$7</f>
        <v/>
      </c>
      <c r="I349" s="17">
        <f>Описание!$B$9*G349*Описание!$B$7</f>
        <v/>
      </c>
    </row>
    <row r="350">
      <c r="A350" s="13" t="n">
        <v>39218</v>
      </c>
      <c r="B350" s="14" t="n">
        <v>1.3574</v>
      </c>
      <c r="C350" t="inlineStr">
        <is>
          <t>До</t>
        </is>
      </c>
      <c r="D350" s="15">
        <f>B350/B349-1</f>
        <v/>
      </c>
      <c r="E350" s="16">
        <f>LN(B350/B349)</f>
        <v/>
      </c>
      <c r="F350" s="15">
        <f>_xlfn.STDEV.S(OFFSET(D350,-Описание!$B$12,0,Описание!$B$12,1))</f>
        <v/>
      </c>
      <c r="G350" s="15">
        <f>SQRT(Описание!$B$13*G349^2+(1-Описание!$B$13)*D349^2)</f>
        <v/>
      </c>
      <c r="H350" s="17">
        <f>Описание!$B$9*F350*Описание!$B$7</f>
        <v/>
      </c>
      <c r="I350" s="17">
        <f>Описание!$B$9*G350*Описание!$B$7</f>
        <v/>
      </c>
    </row>
    <row r="351">
      <c r="A351" s="13" t="n">
        <v>39219</v>
      </c>
      <c r="B351" s="14" t="n">
        <v>1.3516</v>
      </c>
      <c r="C351" t="inlineStr">
        <is>
          <t>До</t>
        </is>
      </c>
      <c r="D351" s="15">
        <f>B351/B350-1</f>
        <v/>
      </c>
      <c r="E351" s="16">
        <f>LN(B351/B350)</f>
        <v/>
      </c>
      <c r="F351" s="15">
        <f>_xlfn.STDEV.S(OFFSET(D351,-Описание!$B$12,0,Описание!$B$12,1))</f>
        <v/>
      </c>
      <c r="G351" s="15">
        <f>SQRT(Описание!$B$13*G350^2+(1-Описание!$B$13)*D350^2)</f>
        <v/>
      </c>
      <c r="H351" s="17">
        <f>Описание!$B$9*F351*Описание!$B$7</f>
        <v/>
      </c>
      <c r="I351" s="17">
        <f>Описание!$B$9*G351*Описание!$B$7</f>
        <v/>
      </c>
    </row>
    <row r="352">
      <c r="A352" s="13" t="n">
        <v>39220</v>
      </c>
      <c r="B352" s="14" t="n">
        <v>1.3477</v>
      </c>
      <c r="C352" t="inlineStr">
        <is>
          <t>До</t>
        </is>
      </c>
      <c r="D352" s="15">
        <f>B352/B351-1</f>
        <v/>
      </c>
      <c r="E352" s="16">
        <f>LN(B352/B351)</f>
        <v/>
      </c>
      <c r="F352" s="15">
        <f>_xlfn.STDEV.S(OFFSET(D352,-Описание!$B$12,0,Описание!$B$12,1))</f>
        <v/>
      </c>
      <c r="G352" s="15">
        <f>SQRT(Описание!$B$13*G351^2+(1-Описание!$B$13)*D351^2)</f>
        <v/>
      </c>
      <c r="H352" s="17">
        <f>Описание!$B$9*F352*Описание!$B$7</f>
        <v/>
      </c>
      <c r="I352" s="17">
        <f>Описание!$B$9*G352*Описание!$B$7</f>
        <v/>
      </c>
    </row>
    <row r="353">
      <c r="A353" s="13" t="n">
        <v>39223</v>
      </c>
      <c r="B353" s="14" t="n">
        <v>1.3444</v>
      </c>
      <c r="C353" t="inlineStr">
        <is>
          <t>До</t>
        </is>
      </c>
      <c r="D353" s="15">
        <f>B353/B352-1</f>
        <v/>
      </c>
      <c r="E353" s="16">
        <f>LN(B353/B352)</f>
        <v/>
      </c>
      <c r="F353" s="15">
        <f>_xlfn.STDEV.S(OFFSET(D353,-Описание!$B$12,0,Описание!$B$12,1))</f>
        <v/>
      </c>
      <c r="G353" s="15">
        <f>SQRT(Описание!$B$13*G352^2+(1-Описание!$B$13)*D352^2)</f>
        <v/>
      </c>
      <c r="H353" s="17">
        <f>Описание!$B$9*F353*Описание!$B$7</f>
        <v/>
      </c>
      <c r="I353" s="17">
        <f>Описание!$B$9*G353*Описание!$B$7</f>
        <v/>
      </c>
    </row>
    <row r="354">
      <c r="A354" s="13" t="n">
        <v>39224</v>
      </c>
      <c r="B354" s="14" t="n">
        <v>1.3454</v>
      </c>
      <c r="C354" t="inlineStr">
        <is>
          <t>До</t>
        </is>
      </c>
      <c r="D354" s="15">
        <f>B354/B353-1</f>
        <v/>
      </c>
      <c r="E354" s="16">
        <f>LN(B354/B353)</f>
        <v/>
      </c>
      <c r="F354" s="15">
        <f>_xlfn.STDEV.S(OFFSET(D354,-Описание!$B$12,0,Описание!$B$12,1))</f>
        <v/>
      </c>
      <c r="G354" s="15">
        <f>SQRT(Описание!$B$13*G353^2+(1-Описание!$B$13)*D353^2)</f>
        <v/>
      </c>
      <c r="H354" s="17">
        <f>Описание!$B$9*F354*Описание!$B$7</f>
        <v/>
      </c>
      <c r="I354" s="17">
        <f>Описание!$B$9*G354*Описание!$B$7</f>
        <v/>
      </c>
    </row>
    <row r="355">
      <c r="A355" s="13" t="n">
        <v>39225</v>
      </c>
      <c r="B355" s="14" t="n">
        <v>1.349</v>
      </c>
      <c r="C355" t="inlineStr">
        <is>
          <t>До</t>
        </is>
      </c>
      <c r="D355" s="15">
        <f>B355/B354-1</f>
        <v/>
      </c>
      <c r="E355" s="16">
        <f>LN(B355/B354)</f>
        <v/>
      </c>
      <c r="F355" s="15">
        <f>_xlfn.STDEV.S(OFFSET(D355,-Описание!$B$12,0,Описание!$B$12,1))</f>
        <v/>
      </c>
      <c r="G355" s="15">
        <f>SQRT(Описание!$B$13*G354^2+(1-Описание!$B$13)*D354^2)</f>
        <v/>
      </c>
      <c r="H355" s="17">
        <f>Описание!$B$9*F355*Описание!$B$7</f>
        <v/>
      </c>
      <c r="I355" s="17">
        <f>Описание!$B$9*G355*Описание!$B$7</f>
        <v/>
      </c>
    </row>
    <row r="356">
      <c r="A356" s="13" t="n">
        <v>39226</v>
      </c>
      <c r="B356" s="14" t="n">
        <v>1.3448</v>
      </c>
      <c r="C356" t="inlineStr">
        <is>
          <t>До</t>
        </is>
      </c>
      <c r="D356" s="15">
        <f>B356/B355-1</f>
        <v/>
      </c>
      <c r="E356" s="16">
        <f>LN(B356/B355)</f>
        <v/>
      </c>
      <c r="F356" s="15">
        <f>_xlfn.STDEV.S(OFFSET(D356,-Описание!$B$12,0,Описание!$B$12,1))</f>
        <v/>
      </c>
      <c r="G356" s="15">
        <f>SQRT(Описание!$B$13*G355^2+(1-Описание!$B$13)*D355^2)</f>
        <v/>
      </c>
      <c r="H356" s="17">
        <f>Описание!$B$9*F356*Описание!$B$7</f>
        <v/>
      </c>
      <c r="I356" s="17">
        <f>Описание!$B$9*G356*Описание!$B$7</f>
        <v/>
      </c>
    </row>
    <row r="357">
      <c r="A357" s="13" t="n">
        <v>39227</v>
      </c>
      <c r="B357" s="14" t="n">
        <v>1.3441</v>
      </c>
      <c r="C357" t="inlineStr">
        <is>
          <t>До</t>
        </is>
      </c>
      <c r="D357" s="15">
        <f>B357/B356-1</f>
        <v/>
      </c>
      <c r="E357" s="16">
        <f>LN(B357/B356)</f>
        <v/>
      </c>
      <c r="F357" s="15">
        <f>_xlfn.STDEV.S(OFFSET(D357,-Описание!$B$12,0,Описание!$B$12,1))</f>
        <v/>
      </c>
      <c r="G357" s="15">
        <f>SQRT(Описание!$B$13*G356^2+(1-Описание!$B$13)*D356^2)</f>
        <v/>
      </c>
      <c r="H357" s="17">
        <f>Описание!$B$9*F357*Описание!$B$7</f>
        <v/>
      </c>
      <c r="I357" s="17">
        <f>Описание!$B$9*G357*Описание!$B$7</f>
        <v/>
      </c>
    </row>
    <row r="358">
      <c r="A358" s="13" t="n">
        <v>39230</v>
      </c>
      <c r="B358" s="14" t="n">
        <v>1.3453</v>
      </c>
      <c r="C358" t="inlineStr">
        <is>
          <t>До</t>
        </is>
      </c>
      <c r="D358" s="15">
        <f>B358/B357-1</f>
        <v/>
      </c>
      <c r="E358" s="16">
        <f>LN(B358/B357)</f>
        <v/>
      </c>
      <c r="F358" s="15">
        <f>_xlfn.STDEV.S(OFFSET(D358,-Описание!$B$12,0,Описание!$B$12,1))</f>
        <v/>
      </c>
      <c r="G358" s="15">
        <f>SQRT(Описание!$B$13*G357^2+(1-Описание!$B$13)*D357^2)</f>
        <v/>
      </c>
      <c r="H358" s="17">
        <f>Описание!$B$9*F358*Описание!$B$7</f>
        <v/>
      </c>
      <c r="I358" s="17">
        <f>Описание!$B$9*G358*Описание!$B$7</f>
        <v/>
      </c>
    </row>
    <row r="359">
      <c r="A359" s="13" t="n">
        <v>39231</v>
      </c>
      <c r="B359" s="14" t="n">
        <v>1.3509</v>
      </c>
      <c r="C359" t="inlineStr">
        <is>
          <t>До</t>
        </is>
      </c>
      <c r="D359" s="15">
        <f>B359/B358-1</f>
        <v/>
      </c>
      <c r="E359" s="16">
        <f>LN(B359/B358)</f>
        <v/>
      </c>
      <c r="F359" s="15">
        <f>_xlfn.STDEV.S(OFFSET(D359,-Описание!$B$12,0,Описание!$B$12,1))</f>
        <v/>
      </c>
      <c r="G359" s="15">
        <f>SQRT(Описание!$B$13*G358^2+(1-Описание!$B$13)*D358^2)</f>
        <v/>
      </c>
      <c r="H359" s="17">
        <f>Описание!$B$9*F359*Описание!$B$7</f>
        <v/>
      </c>
      <c r="I359" s="17">
        <f>Описание!$B$9*G359*Описание!$B$7</f>
        <v/>
      </c>
    </row>
    <row r="360">
      <c r="A360" s="13" t="n">
        <v>39232</v>
      </c>
      <c r="B360" s="14" t="n">
        <v>1.342</v>
      </c>
      <c r="C360" t="inlineStr">
        <is>
          <t>До</t>
        </is>
      </c>
      <c r="D360" s="15">
        <f>B360/B359-1</f>
        <v/>
      </c>
      <c r="E360" s="16">
        <f>LN(B360/B359)</f>
        <v/>
      </c>
      <c r="F360" s="15">
        <f>_xlfn.STDEV.S(OFFSET(D360,-Описание!$B$12,0,Описание!$B$12,1))</f>
        <v/>
      </c>
      <c r="G360" s="15">
        <f>SQRT(Описание!$B$13*G359^2+(1-Описание!$B$13)*D359^2)</f>
        <v/>
      </c>
      <c r="H360" s="17">
        <f>Описание!$B$9*F360*Описание!$B$7</f>
        <v/>
      </c>
      <c r="I360" s="17">
        <f>Описание!$B$9*G360*Описание!$B$7</f>
        <v/>
      </c>
    </row>
    <row r="361">
      <c r="A361" s="13" t="n">
        <v>39233</v>
      </c>
      <c r="B361" s="14" t="n">
        <v>1.3453</v>
      </c>
      <c r="C361" t="inlineStr">
        <is>
          <t>До</t>
        </is>
      </c>
      <c r="D361" s="15">
        <f>B361/B360-1</f>
        <v/>
      </c>
      <c r="E361" s="16">
        <f>LN(B361/B360)</f>
        <v/>
      </c>
      <c r="F361" s="15">
        <f>_xlfn.STDEV.S(OFFSET(D361,-Описание!$B$12,0,Описание!$B$12,1))</f>
        <v/>
      </c>
      <c r="G361" s="15">
        <f>SQRT(Описание!$B$13*G360^2+(1-Описание!$B$13)*D360^2)</f>
        <v/>
      </c>
      <c r="H361" s="17">
        <f>Описание!$B$9*F361*Описание!$B$7</f>
        <v/>
      </c>
      <c r="I361" s="17">
        <f>Описание!$B$9*G361*Описание!$B$7</f>
        <v/>
      </c>
    </row>
    <row r="362">
      <c r="A362" s="13" t="n">
        <v>39234</v>
      </c>
      <c r="B362" s="14" t="n">
        <v>1.3436</v>
      </c>
      <c r="C362" t="inlineStr">
        <is>
          <t>До</t>
        </is>
      </c>
      <c r="D362" s="15">
        <f>B362/B361-1</f>
        <v/>
      </c>
      <c r="E362" s="16">
        <f>LN(B362/B361)</f>
        <v/>
      </c>
      <c r="F362" s="15">
        <f>_xlfn.STDEV.S(OFFSET(D362,-Описание!$B$12,0,Описание!$B$12,1))</f>
        <v/>
      </c>
      <c r="G362" s="15">
        <f>SQRT(Описание!$B$13*G361^2+(1-Описание!$B$13)*D361^2)</f>
        <v/>
      </c>
      <c r="H362" s="17">
        <f>Описание!$B$9*F362*Описание!$B$7</f>
        <v/>
      </c>
      <c r="I362" s="17">
        <f>Описание!$B$9*G362*Описание!$B$7</f>
        <v/>
      </c>
    </row>
    <row r="363">
      <c r="A363" s="13" t="n">
        <v>39237</v>
      </c>
      <c r="B363" s="14" t="n">
        <v>1.3482</v>
      </c>
      <c r="C363" t="inlineStr">
        <is>
          <t>До</t>
        </is>
      </c>
      <c r="D363" s="15">
        <f>B363/B362-1</f>
        <v/>
      </c>
      <c r="E363" s="16">
        <f>LN(B363/B362)</f>
        <v/>
      </c>
      <c r="F363" s="15">
        <f>_xlfn.STDEV.S(OFFSET(D363,-Описание!$B$12,0,Описание!$B$12,1))</f>
        <v/>
      </c>
      <c r="G363" s="15">
        <f>SQRT(Описание!$B$13*G362^2+(1-Описание!$B$13)*D362^2)</f>
        <v/>
      </c>
      <c r="H363" s="17">
        <f>Описание!$B$9*F363*Описание!$B$7</f>
        <v/>
      </c>
      <c r="I363" s="17">
        <f>Описание!$B$9*G363*Описание!$B$7</f>
        <v/>
      </c>
    </row>
    <row r="364">
      <c r="A364" s="13" t="n">
        <v>39238</v>
      </c>
      <c r="B364" s="14" t="n">
        <v>1.3532</v>
      </c>
      <c r="C364" t="inlineStr">
        <is>
          <t>До</t>
        </is>
      </c>
      <c r="D364" s="15">
        <f>B364/B363-1</f>
        <v/>
      </c>
      <c r="E364" s="16">
        <f>LN(B364/B363)</f>
        <v/>
      </c>
      <c r="F364" s="15">
        <f>_xlfn.STDEV.S(OFFSET(D364,-Описание!$B$12,0,Описание!$B$12,1))</f>
        <v/>
      </c>
      <c r="G364" s="15">
        <f>SQRT(Описание!$B$13*G363^2+(1-Описание!$B$13)*D363^2)</f>
        <v/>
      </c>
      <c r="H364" s="17">
        <f>Описание!$B$9*F364*Описание!$B$7</f>
        <v/>
      </c>
      <c r="I364" s="17">
        <f>Описание!$B$9*G364*Описание!$B$7</f>
        <v/>
      </c>
    </row>
    <row r="365">
      <c r="A365" s="13" t="n">
        <v>39239</v>
      </c>
      <c r="B365" s="14" t="n">
        <v>1.3513</v>
      </c>
      <c r="C365" t="inlineStr">
        <is>
          <t>До</t>
        </is>
      </c>
      <c r="D365" s="15">
        <f>B365/B364-1</f>
        <v/>
      </c>
      <c r="E365" s="16">
        <f>LN(B365/B364)</f>
        <v/>
      </c>
      <c r="F365" s="15">
        <f>_xlfn.STDEV.S(OFFSET(D365,-Описание!$B$12,0,Описание!$B$12,1))</f>
        <v/>
      </c>
      <c r="G365" s="15">
        <f>SQRT(Описание!$B$13*G364^2+(1-Описание!$B$13)*D364^2)</f>
        <v/>
      </c>
      <c r="H365" s="17">
        <f>Описание!$B$9*F365*Описание!$B$7</f>
        <v/>
      </c>
      <c r="I365" s="17">
        <f>Описание!$B$9*G365*Описание!$B$7</f>
        <v/>
      </c>
    </row>
    <row r="366">
      <c r="A366" s="13" t="n">
        <v>39240</v>
      </c>
      <c r="B366" s="14" t="n">
        <v>1.347</v>
      </c>
      <c r="C366" t="inlineStr">
        <is>
          <t>До</t>
        </is>
      </c>
      <c r="D366" s="15">
        <f>B366/B365-1</f>
        <v/>
      </c>
      <c r="E366" s="16">
        <f>LN(B366/B365)</f>
        <v/>
      </c>
      <c r="F366" s="15">
        <f>_xlfn.STDEV.S(OFFSET(D366,-Описание!$B$12,0,Описание!$B$12,1))</f>
        <v/>
      </c>
      <c r="G366" s="15">
        <f>SQRT(Описание!$B$13*G365^2+(1-Описание!$B$13)*D365^2)</f>
        <v/>
      </c>
      <c r="H366" s="17">
        <f>Описание!$B$9*F366*Описание!$B$7</f>
        <v/>
      </c>
      <c r="I366" s="17">
        <f>Описание!$B$9*G366*Описание!$B$7</f>
        <v/>
      </c>
    </row>
    <row r="367">
      <c r="A367" s="13" t="n">
        <v>39241</v>
      </c>
      <c r="B367" s="14" t="n">
        <v>1.3349</v>
      </c>
      <c r="C367" t="inlineStr">
        <is>
          <t>До</t>
        </is>
      </c>
      <c r="D367" s="15">
        <f>B367/B366-1</f>
        <v/>
      </c>
      <c r="E367" s="16">
        <f>LN(B367/B366)</f>
        <v/>
      </c>
      <c r="F367" s="15">
        <f>_xlfn.STDEV.S(OFFSET(D367,-Описание!$B$12,0,Описание!$B$12,1))</f>
        <v/>
      </c>
      <c r="G367" s="15">
        <f>SQRT(Описание!$B$13*G366^2+(1-Описание!$B$13)*D366^2)</f>
        <v/>
      </c>
      <c r="H367" s="17">
        <f>Описание!$B$9*F367*Описание!$B$7</f>
        <v/>
      </c>
      <c r="I367" s="17">
        <f>Описание!$B$9*G367*Описание!$B$7</f>
        <v/>
      </c>
    </row>
    <row r="368">
      <c r="A368" s="13" t="n">
        <v>39244</v>
      </c>
      <c r="B368" s="14" t="n">
        <v>1.3355</v>
      </c>
      <c r="C368" t="inlineStr">
        <is>
          <t>До</t>
        </is>
      </c>
      <c r="D368" s="15">
        <f>B368/B367-1</f>
        <v/>
      </c>
      <c r="E368" s="16">
        <f>LN(B368/B367)</f>
        <v/>
      </c>
      <c r="F368" s="15">
        <f>_xlfn.STDEV.S(OFFSET(D368,-Описание!$B$12,0,Описание!$B$12,1))</f>
        <v/>
      </c>
      <c r="G368" s="15">
        <f>SQRT(Описание!$B$13*G367^2+(1-Описание!$B$13)*D367^2)</f>
        <v/>
      </c>
      <c r="H368" s="17">
        <f>Описание!$B$9*F368*Описание!$B$7</f>
        <v/>
      </c>
      <c r="I368" s="17">
        <f>Описание!$B$9*G368*Описание!$B$7</f>
        <v/>
      </c>
    </row>
    <row r="369">
      <c r="A369" s="13" t="n">
        <v>39245</v>
      </c>
      <c r="B369" s="14" t="n">
        <v>1.3345</v>
      </c>
      <c r="C369" t="inlineStr">
        <is>
          <t>До</t>
        </is>
      </c>
      <c r="D369" s="15">
        <f>B369/B368-1</f>
        <v/>
      </c>
      <c r="E369" s="16">
        <f>LN(B369/B368)</f>
        <v/>
      </c>
      <c r="F369" s="15">
        <f>_xlfn.STDEV.S(OFFSET(D369,-Описание!$B$12,0,Описание!$B$12,1))</f>
        <v/>
      </c>
      <c r="G369" s="15">
        <f>SQRT(Описание!$B$13*G368^2+(1-Описание!$B$13)*D368^2)</f>
        <v/>
      </c>
      <c r="H369" s="17">
        <f>Описание!$B$9*F369*Описание!$B$7</f>
        <v/>
      </c>
      <c r="I369" s="17">
        <f>Описание!$B$9*G369*Описание!$B$7</f>
        <v/>
      </c>
    </row>
    <row r="370">
      <c r="A370" s="13" t="n">
        <v>39246</v>
      </c>
      <c r="B370" s="14" t="n">
        <v>1.3287</v>
      </c>
      <c r="C370" t="inlineStr">
        <is>
          <t>До</t>
        </is>
      </c>
      <c r="D370" s="15">
        <f>B370/B369-1</f>
        <v/>
      </c>
      <c r="E370" s="16">
        <f>LN(B370/B369)</f>
        <v/>
      </c>
      <c r="F370" s="15">
        <f>_xlfn.STDEV.S(OFFSET(D370,-Описание!$B$12,0,Описание!$B$12,1))</f>
        <v/>
      </c>
      <c r="G370" s="15">
        <f>SQRT(Описание!$B$13*G369^2+(1-Описание!$B$13)*D369^2)</f>
        <v/>
      </c>
      <c r="H370" s="17">
        <f>Описание!$B$9*F370*Описание!$B$7</f>
        <v/>
      </c>
      <c r="I370" s="17">
        <f>Описание!$B$9*G370*Описание!$B$7</f>
        <v/>
      </c>
    </row>
    <row r="371">
      <c r="A371" s="13" t="n">
        <v>39247</v>
      </c>
      <c r="B371" s="14" t="n">
        <v>1.3304</v>
      </c>
      <c r="C371" t="inlineStr">
        <is>
          <t>До</t>
        </is>
      </c>
      <c r="D371" s="15">
        <f>B371/B370-1</f>
        <v/>
      </c>
      <c r="E371" s="16">
        <f>LN(B371/B370)</f>
        <v/>
      </c>
      <c r="F371" s="15">
        <f>_xlfn.STDEV.S(OFFSET(D371,-Описание!$B$12,0,Описание!$B$12,1))</f>
        <v/>
      </c>
      <c r="G371" s="15">
        <f>SQRT(Описание!$B$13*G370^2+(1-Описание!$B$13)*D370^2)</f>
        <v/>
      </c>
      <c r="H371" s="17">
        <f>Описание!$B$9*F371*Описание!$B$7</f>
        <v/>
      </c>
      <c r="I371" s="17">
        <f>Описание!$B$9*G371*Описание!$B$7</f>
        <v/>
      </c>
    </row>
    <row r="372">
      <c r="A372" s="13" t="n">
        <v>39248</v>
      </c>
      <c r="B372" s="14" t="n">
        <v>1.3314</v>
      </c>
      <c r="C372" t="inlineStr">
        <is>
          <t>До</t>
        </is>
      </c>
      <c r="D372" s="15">
        <f>B372/B371-1</f>
        <v/>
      </c>
      <c r="E372" s="16">
        <f>LN(B372/B371)</f>
        <v/>
      </c>
      <c r="F372" s="15">
        <f>_xlfn.STDEV.S(OFFSET(D372,-Описание!$B$12,0,Описание!$B$12,1))</f>
        <v/>
      </c>
      <c r="G372" s="15">
        <f>SQRT(Описание!$B$13*G371^2+(1-Описание!$B$13)*D371^2)</f>
        <v/>
      </c>
      <c r="H372" s="17">
        <f>Описание!$B$9*F372*Описание!$B$7</f>
        <v/>
      </c>
      <c r="I372" s="17">
        <f>Описание!$B$9*G372*Описание!$B$7</f>
        <v/>
      </c>
    </row>
    <row r="373">
      <c r="A373" s="13" t="n">
        <v>39251</v>
      </c>
      <c r="B373" s="14" t="n">
        <v>1.3404</v>
      </c>
      <c r="C373" t="inlineStr">
        <is>
          <t>До</t>
        </is>
      </c>
      <c r="D373" s="15">
        <f>B373/B372-1</f>
        <v/>
      </c>
      <c r="E373" s="16">
        <f>LN(B373/B372)</f>
        <v/>
      </c>
      <c r="F373" s="15">
        <f>_xlfn.STDEV.S(OFFSET(D373,-Описание!$B$12,0,Описание!$B$12,1))</f>
        <v/>
      </c>
      <c r="G373" s="15">
        <f>SQRT(Описание!$B$13*G372^2+(1-Описание!$B$13)*D372^2)</f>
        <v/>
      </c>
      <c r="H373" s="17">
        <f>Описание!$B$9*F373*Описание!$B$7</f>
        <v/>
      </c>
      <c r="I373" s="17">
        <f>Описание!$B$9*G373*Описание!$B$7</f>
        <v/>
      </c>
    </row>
    <row r="374">
      <c r="A374" s="13" t="n">
        <v>39252</v>
      </c>
      <c r="B374" s="14" t="n">
        <v>1.3403</v>
      </c>
      <c r="C374" t="inlineStr">
        <is>
          <t>До</t>
        </is>
      </c>
      <c r="D374" s="15">
        <f>B374/B373-1</f>
        <v/>
      </c>
      <c r="E374" s="16">
        <f>LN(B374/B373)</f>
        <v/>
      </c>
      <c r="F374" s="15">
        <f>_xlfn.STDEV.S(OFFSET(D374,-Описание!$B$12,0,Описание!$B$12,1))</f>
        <v/>
      </c>
      <c r="G374" s="15">
        <f>SQRT(Описание!$B$13*G373^2+(1-Описание!$B$13)*D373^2)</f>
        <v/>
      </c>
      <c r="H374" s="17">
        <f>Описание!$B$9*F374*Описание!$B$7</f>
        <v/>
      </c>
      <c r="I374" s="17">
        <f>Описание!$B$9*G374*Описание!$B$7</f>
        <v/>
      </c>
    </row>
    <row r="375">
      <c r="A375" s="13" t="n">
        <v>39253</v>
      </c>
      <c r="B375" s="14" t="n">
        <v>1.3427</v>
      </c>
      <c r="C375" t="inlineStr">
        <is>
          <t>До</t>
        </is>
      </c>
      <c r="D375" s="15">
        <f>B375/B374-1</f>
        <v/>
      </c>
      <c r="E375" s="16">
        <f>LN(B375/B374)</f>
        <v/>
      </c>
      <c r="F375" s="15">
        <f>_xlfn.STDEV.S(OFFSET(D375,-Описание!$B$12,0,Описание!$B$12,1))</f>
        <v/>
      </c>
      <c r="G375" s="15">
        <f>SQRT(Описание!$B$13*G374^2+(1-Описание!$B$13)*D374^2)</f>
        <v/>
      </c>
      <c r="H375" s="17">
        <f>Описание!$B$9*F375*Описание!$B$7</f>
        <v/>
      </c>
      <c r="I375" s="17">
        <f>Описание!$B$9*G375*Описание!$B$7</f>
        <v/>
      </c>
    </row>
    <row r="376">
      <c r="A376" s="13" t="n">
        <v>39254</v>
      </c>
      <c r="B376" s="14" t="n">
        <v>1.3397</v>
      </c>
      <c r="C376" t="inlineStr">
        <is>
          <t>До</t>
        </is>
      </c>
      <c r="D376" s="15">
        <f>B376/B375-1</f>
        <v/>
      </c>
      <c r="E376" s="16">
        <f>LN(B376/B375)</f>
        <v/>
      </c>
      <c r="F376" s="15">
        <f>_xlfn.STDEV.S(OFFSET(D376,-Описание!$B$12,0,Описание!$B$12,1))</f>
        <v/>
      </c>
      <c r="G376" s="15">
        <f>SQRT(Описание!$B$13*G375^2+(1-Описание!$B$13)*D375^2)</f>
        <v/>
      </c>
      <c r="H376" s="17">
        <f>Описание!$B$9*F376*Описание!$B$7</f>
        <v/>
      </c>
      <c r="I376" s="17">
        <f>Описание!$B$9*G376*Описание!$B$7</f>
        <v/>
      </c>
    </row>
    <row r="377">
      <c r="A377" s="13" t="n">
        <v>39255</v>
      </c>
      <c r="B377" s="14" t="n">
        <v>1.3441</v>
      </c>
      <c r="C377" t="inlineStr">
        <is>
          <t>До</t>
        </is>
      </c>
      <c r="D377" s="15">
        <f>B377/B376-1</f>
        <v/>
      </c>
      <c r="E377" s="16">
        <f>LN(B377/B376)</f>
        <v/>
      </c>
      <c r="F377" s="15">
        <f>_xlfn.STDEV.S(OFFSET(D377,-Описание!$B$12,0,Описание!$B$12,1))</f>
        <v/>
      </c>
      <c r="G377" s="15">
        <f>SQRT(Описание!$B$13*G376^2+(1-Описание!$B$13)*D376^2)</f>
        <v/>
      </c>
      <c r="H377" s="17">
        <f>Описание!$B$9*F377*Описание!$B$7</f>
        <v/>
      </c>
      <c r="I377" s="17">
        <f>Описание!$B$9*G377*Описание!$B$7</f>
        <v/>
      </c>
    </row>
    <row r="378">
      <c r="A378" s="13" t="n">
        <v>39258</v>
      </c>
      <c r="B378" s="14" t="n">
        <v>1.3461</v>
      </c>
      <c r="C378" t="inlineStr">
        <is>
          <t>До</t>
        </is>
      </c>
      <c r="D378" s="15">
        <f>B378/B377-1</f>
        <v/>
      </c>
      <c r="E378" s="16">
        <f>LN(B378/B377)</f>
        <v/>
      </c>
      <c r="F378" s="15">
        <f>_xlfn.STDEV.S(OFFSET(D378,-Описание!$B$12,0,Описание!$B$12,1))</f>
        <v/>
      </c>
      <c r="G378" s="15">
        <f>SQRT(Описание!$B$13*G377^2+(1-Описание!$B$13)*D377^2)</f>
        <v/>
      </c>
      <c r="H378" s="17">
        <f>Описание!$B$9*F378*Описание!$B$7</f>
        <v/>
      </c>
      <c r="I378" s="17">
        <f>Описание!$B$9*G378*Описание!$B$7</f>
        <v/>
      </c>
    </row>
    <row r="379">
      <c r="A379" s="13" t="n">
        <v>39259</v>
      </c>
      <c r="B379" s="14" t="n">
        <v>1.346</v>
      </c>
      <c r="C379" t="inlineStr">
        <is>
          <t>До</t>
        </is>
      </c>
      <c r="D379" s="15">
        <f>B379/B378-1</f>
        <v/>
      </c>
      <c r="E379" s="16">
        <f>LN(B379/B378)</f>
        <v/>
      </c>
      <c r="F379" s="15">
        <f>_xlfn.STDEV.S(OFFSET(D379,-Описание!$B$12,0,Описание!$B$12,1))</f>
        <v/>
      </c>
      <c r="G379" s="15">
        <f>SQRT(Описание!$B$13*G378^2+(1-Описание!$B$13)*D378^2)</f>
        <v/>
      </c>
      <c r="H379" s="17">
        <f>Описание!$B$9*F379*Описание!$B$7</f>
        <v/>
      </c>
      <c r="I379" s="17">
        <f>Описание!$B$9*G379*Описание!$B$7</f>
        <v/>
      </c>
    </row>
    <row r="380">
      <c r="A380" s="13" t="n">
        <v>39260</v>
      </c>
      <c r="B380" s="14" t="n">
        <v>1.3438</v>
      </c>
      <c r="C380" t="inlineStr">
        <is>
          <t>До</t>
        </is>
      </c>
      <c r="D380" s="15">
        <f>B380/B379-1</f>
        <v/>
      </c>
      <c r="E380" s="16">
        <f>LN(B380/B379)</f>
        <v/>
      </c>
      <c r="F380" s="15">
        <f>_xlfn.STDEV.S(OFFSET(D380,-Описание!$B$12,0,Описание!$B$12,1))</f>
        <v/>
      </c>
      <c r="G380" s="15">
        <f>SQRT(Описание!$B$13*G379^2+(1-Описание!$B$13)*D379^2)</f>
        <v/>
      </c>
      <c r="H380" s="17">
        <f>Описание!$B$9*F380*Описание!$B$7</f>
        <v/>
      </c>
      <c r="I380" s="17">
        <f>Описание!$B$9*G380*Описание!$B$7</f>
        <v/>
      </c>
    </row>
    <row r="381">
      <c r="A381" s="13" t="n">
        <v>39261</v>
      </c>
      <c r="B381" s="14" t="n">
        <v>1.3467</v>
      </c>
      <c r="C381" t="inlineStr">
        <is>
          <t>До</t>
        </is>
      </c>
      <c r="D381" s="15">
        <f>B381/B380-1</f>
        <v/>
      </c>
      <c r="E381" s="16">
        <f>LN(B381/B380)</f>
        <v/>
      </c>
      <c r="F381" s="15">
        <f>_xlfn.STDEV.S(OFFSET(D381,-Описание!$B$12,0,Описание!$B$12,1))</f>
        <v/>
      </c>
      <c r="G381" s="15">
        <f>SQRT(Описание!$B$13*G380^2+(1-Описание!$B$13)*D380^2)</f>
        <v/>
      </c>
      <c r="H381" s="17">
        <f>Описание!$B$9*F381*Описание!$B$7</f>
        <v/>
      </c>
      <c r="I381" s="17">
        <f>Описание!$B$9*G381*Описание!$B$7</f>
        <v/>
      </c>
    </row>
    <row r="382">
      <c r="A382" s="13" t="n">
        <v>39262</v>
      </c>
      <c r="B382" s="14" t="n">
        <v>1.3505</v>
      </c>
      <c r="C382" t="inlineStr">
        <is>
          <t>До</t>
        </is>
      </c>
      <c r="D382" s="15">
        <f>B382/B381-1</f>
        <v/>
      </c>
      <c r="E382" s="16">
        <f>LN(B382/B381)</f>
        <v/>
      </c>
      <c r="F382" s="15">
        <f>_xlfn.STDEV.S(OFFSET(D382,-Описание!$B$12,0,Описание!$B$12,1))</f>
        <v/>
      </c>
      <c r="G382" s="15">
        <f>SQRT(Описание!$B$13*G381^2+(1-Описание!$B$13)*D381^2)</f>
        <v/>
      </c>
      <c r="H382" s="17">
        <f>Описание!$B$9*F382*Описание!$B$7</f>
        <v/>
      </c>
      <c r="I382" s="17">
        <f>Описание!$B$9*G382*Описание!$B$7</f>
        <v/>
      </c>
    </row>
    <row r="383">
      <c r="A383" s="13" t="n">
        <v>39265</v>
      </c>
      <c r="B383" s="14" t="n">
        <v>1.3588</v>
      </c>
      <c r="C383" t="inlineStr">
        <is>
          <t>До</t>
        </is>
      </c>
      <c r="D383" s="15">
        <f>B383/B382-1</f>
        <v/>
      </c>
      <c r="E383" s="16">
        <f>LN(B383/B382)</f>
        <v/>
      </c>
      <c r="F383" s="15">
        <f>_xlfn.STDEV.S(OFFSET(D383,-Описание!$B$12,0,Описание!$B$12,1))</f>
        <v/>
      </c>
      <c r="G383" s="15">
        <f>SQRT(Описание!$B$13*G382^2+(1-Описание!$B$13)*D382^2)</f>
        <v/>
      </c>
      <c r="H383" s="17">
        <f>Описание!$B$9*F383*Описание!$B$7</f>
        <v/>
      </c>
      <c r="I383" s="17">
        <f>Описание!$B$9*G383*Описание!$B$7</f>
        <v/>
      </c>
    </row>
    <row r="384">
      <c r="A384" s="13" t="n">
        <v>39266</v>
      </c>
      <c r="B384" s="14" t="n">
        <v>1.3601</v>
      </c>
      <c r="C384" t="inlineStr">
        <is>
          <t>До</t>
        </is>
      </c>
      <c r="D384" s="15">
        <f>B384/B383-1</f>
        <v/>
      </c>
      <c r="E384" s="16">
        <f>LN(B384/B383)</f>
        <v/>
      </c>
      <c r="F384" s="15">
        <f>_xlfn.STDEV.S(OFFSET(D384,-Описание!$B$12,0,Описание!$B$12,1))</f>
        <v/>
      </c>
      <c r="G384" s="15">
        <f>SQRT(Описание!$B$13*G383^2+(1-Описание!$B$13)*D383^2)</f>
        <v/>
      </c>
      <c r="H384" s="17">
        <f>Описание!$B$9*F384*Описание!$B$7</f>
        <v/>
      </c>
      <c r="I384" s="17">
        <f>Описание!$B$9*G384*Описание!$B$7</f>
        <v/>
      </c>
    </row>
    <row r="385">
      <c r="A385" s="13" t="n">
        <v>39267</v>
      </c>
      <c r="B385" s="14" t="n">
        <v>1.3618</v>
      </c>
      <c r="C385" t="inlineStr">
        <is>
          <t>До</t>
        </is>
      </c>
      <c r="D385" s="15">
        <f>B385/B384-1</f>
        <v/>
      </c>
      <c r="E385" s="16">
        <f>LN(B385/B384)</f>
        <v/>
      </c>
      <c r="F385" s="15">
        <f>_xlfn.STDEV.S(OFFSET(D385,-Описание!$B$12,0,Описание!$B$12,1))</f>
        <v/>
      </c>
      <c r="G385" s="15">
        <f>SQRT(Описание!$B$13*G384^2+(1-Описание!$B$13)*D384^2)</f>
        <v/>
      </c>
      <c r="H385" s="17">
        <f>Описание!$B$9*F385*Описание!$B$7</f>
        <v/>
      </c>
      <c r="I385" s="17">
        <f>Описание!$B$9*G385*Описание!$B$7</f>
        <v/>
      </c>
    </row>
    <row r="386">
      <c r="A386" s="13" t="n">
        <v>39268</v>
      </c>
      <c r="B386" s="14" t="n">
        <v>1.364</v>
      </c>
      <c r="C386" t="inlineStr">
        <is>
          <t>До</t>
        </is>
      </c>
      <c r="D386" s="15">
        <f>B386/B385-1</f>
        <v/>
      </c>
      <c r="E386" s="16">
        <f>LN(B386/B385)</f>
        <v/>
      </c>
      <c r="F386" s="15">
        <f>_xlfn.STDEV.S(OFFSET(D386,-Описание!$B$12,0,Описание!$B$12,1))</f>
        <v/>
      </c>
      <c r="G386" s="15">
        <f>SQRT(Описание!$B$13*G385^2+(1-Описание!$B$13)*D385^2)</f>
        <v/>
      </c>
      <c r="H386" s="17">
        <f>Описание!$B$9*F386*Описание!$B$7</f>
        <v/>
      </c>
      <c r="I386" s="17">
        <f>Описание!$B$9*G386*Описание!$B$7</f>
        <v/>
      </c>
    </row>
    <row r="387">
      <c r="A387" s="13" t="n">
        <v>39269</v>
      </c>
      <c r="B387" s="14" t="n">
        <v>1.3596</v>
      </c>
      <c r="C387" t="inlineStr">
        <is>
          <t>До</t>
        </is>
      </c>
      <c r="D387" s="15">
        <f>B387/B386-1</f>
        <v/>
      </c>
      <c r="E387" s="16">
        <f>LN(B387/B386)</f>
        <v/>
      </c>
      <c r="F387" s="15">
        <f>_xlfn.STDEV.S(OFFSET(D387,-Описание!$B$12,0,Описание!$B$12,1))</f>
        <v/>
      </c>
      <c r="G387" s="15">
        <f>SQRT(Описание!$B$13*G386^2+(1-Описание!$B$13)*D386^2)</f>
        <v/>
      </c>
      <c r="H387" s="17">
        <f>Описание!$B$9*F387*Описание!$B$7</f>
        <v/>
      </c>
      <c r="I387" s="17">
        <f>Описание!$B$9*G387*Описание!$B$7</f>
        <v/>
      </c>
    </row>
    <row r="388">
      <c r="A388" s="13" t="n">
        <v>39272</v>
      </c>
      <c r="B388" s="14" t="n">
        <v>1.3621</v>
      </c>
      <c r="C388" t="inlineStr">
        <is>
          <t>До</t>
        </is>
      </c>
      <c r="D388" s="15">
        <f>B388/B387-1</f>
        <v/>
      </c>
      <c r="E388" s="16">
        <f>LN(B388/B387)</f>
        <v/>
      </c>
      <c r="F388" s="15">
        <f>_xlfn.STDEV.S(OFFSET(D388,-Описание!$B$12,0,Описание!$B$12,1))</f>
        <v/>
      </c>
      <c r="G388" s="15">
        <f>SQRT(Описание!$B$13*G387^2+(1-Описание!$B$13)*D387^2)</f>
        <v/>
      </c>
      <c r="H388" s="17">
        <f>Описание!$B$9*F388*Описание!$B$7</f>
        <v/>
      </c>
      <c r="I388" s="17">
        <f>Описание!$B$9*G388*Описание!$B$7</f>
        <v/>
      </c>
    </row>
    <row r="389">
      <c r="A389" s="13" t="n">
        <v>39273</v>
      </c>
      <c r="B389" s="14" t="n">
        <v>1.3666</v>
      </c>
      <c r="C389" t="inlineStr">
        <is>
          <t>До</t>
        </is>
      </c>
      <c r="D389" s="15">
        <f>B389/B388-1</f>
        <v/>
      </c>
      <c r="E389" s="16">
        <f>LN(B389/B388)</f>
        <v/>
      </c>
      <c r="F389" s="15">
        <f>_xlfn.STDEV.S(OFFSET(D389,-Описание!$B$12,0,Описание!$B$12,1))</f>
        <v/>
      </c>
      <c r="G389" s="15">
        <f>SQRT(Описание!$B$13*G388^2+(1-Описание!$B$13)*D388^2)</f>
        <v/>
      </c>
      <c r="H389" s="17">
        <f>Описание!$B$9*F389*Описание!$B$7</f>
        <v/>
      </c>
      <c r="I389" s="17">
        <f>Описание!$B$9*G389*Описание!$B$7</f>
        <v/>
      </c>
    </row>
    <row r="390">
      <c r="A390" s="13" t="n">
        <v>39274</v>
      </c>
      <c r="B390" s="14" t="n">
        <v>1.3753</v>
      </c>
      <c r="C390" t="inlineStr">
        <is>
          <t>До</t>
        </is>
      </c>
      <c r="D390" s="15">
        <f>B390/B389-1</f>
        <v/>
      </c>
      <c r="E390" s="16">
        <f>LN(B390/B389)</f>
        <v/>
      </c>
      <c r="F390" s="15">
        <f>_xlfn.STDEV.S(OFFSET(D390,-Описание!$B$12,0,Описание!$B$12,1))</f>
        <v/>
      </c>
      <c r="G390" s="15">
        <f>SQRT(Описание!$B$13*G389^2+(1-Описание!$B$13)*D389^2)</f>
        <v/>
      </c>
      <c r="H390" s="17">
        <f>Описание!$B$9*F390*Описание!$B$7</f>
        <v/>
      </c>
      <c r="I390" s="17">
        <f>Описание!$B$9*G390*Описание!$B$7</f>
        <v/>
      </c>
    </row>
    <row r="391">
      <c r="A391" s="13" t="n">
        <v>39275</v>
      </c>
      <c r="B391" s="14" t="n">
        <v>1.3788</v>
      </c>
      <c r="C391" t="inlineStr">
        <is>
          <t>До</t>
        </is>
      </c>
      <c r="D391" s="15">
        <f>B391/B390-1</f>
        <v/>
      </c>
      <c r="E391" s="16">
        <f>LN(B391/B390)</f>
        <v/>
      </c>
      <c r="F391" s="15">
        <f>_xlfn.STDEV.S(OFFSET(D391,-Описание!$B$12,0,Описание!$B$12,1))</f>
        <v/>
      </c>
      <c r="G391" s="15">
        <f>SQRT(Описание!$B$13*G390^2+(1-Описание!$B$13)*D390^2)</f>
        <v/>
      </c>
      <c r="H391" s="17">
        <f>Описание!$B$9*F391*Описание!$B$7</f>
        <v/>
      </c>
      <c r="I391" s="17">
        <f>Описание!$B$9*G391*Описание!$B$7</f>
        <v/>
      </c>
    </row>
    <row r="392">
      <c r="A392" s="13" t="n">
        <v>39276</v>
      </c>
      <c r="B392" s="14" t="n">
        <v>1.3782</v>
      </c>
      <c r="C392" t="inlineStr">
        <is>
          <t>До</t>
        </is>
      </c>
      <c r="D392" s="15">
        <f>B392/B391-1</f>
        <v/>
      </c>
      <c r="E392" s="16">
        <f>LN(B392/B391)</f>
        <v/>
      </c>
      <c r="F392" s="15">
        <f>_xlfn.STDEV.S(OFFSET(D392,-Описание!$B$12,0,Описание!$B$12,1))</f>
        <v/>
      </c>
      <c r="G392" s="15">
        <f>SQRT(Описание!$B$13*G391^2+(1-Описание!$B$13)*D391^2)</f>
        <v/>
      </c>
      <c r="H392" s="17">
        <f>Описание!$B$9*F392*Описание!$B$7</f>
        <v/>
      </c>
      <c r="I392" s="17">
        <f>Описание!$B$9*G392*Описание!$B$7</f>
        <v/>
      </c>
    </row>
    <row r="393">
      <c r="A393" s="13" t="n">
        <v>39279</v>
      </c>
      <c r="B393" s="14" t="n">
        <v>1.3781</v>
      </c>
      <c r="C393" t="inlineStr">
        <is>
          <t>До</t>
        </is>
      </c>
      <c r="D393" s="15">
        <f>B393/B392-1</f>
        <v/>
      </c>
      <c r="E393" s="16">
        <f>LN(B393/B392)</f>
        <v/>
      </c>
      <c r="F393" s="15">
        <f>_xlfn.STDEV.S(OFFSET(D393,-Описание!$B$12,0,Описание!$B$12,1))</f>
        <v/>
      </c>
      <c r="G393" s="15">
        <f>SQRT(Описание!$B$13*G392^2+(1-Описание!$B$13)*D392^2)</f>
        <v/>
      </c>
      <c r="H393" s="17">
        <f>Описание!$B$9*F393*Описание!$B$7</f>
        <v/>
      </c>
      <c r="I393" s="17">
        <f>Описание!$B$9*G393*Описание!$B$7</f>
        <v/>
      </c>
    </row>
    <row r="394">
      <c r="A394" s="13" t="n">
        <v>39280</v>
      </c>
      <c r="B394" s="14" t="n">
        <v>1.3771</v>
      </c>
      <c r="C394" t="inlineStr">
        <is>
          <t>До</t>
        </is>
      </c>
      <c r="D394" s="15">
        <f>B394/B393-1</f>
        <v/>
      </c>
      <c r="E394" s="16">
        <f>LN(B394/B393)</f>
        <v/>
      </c>
      <c r="F394" s="15">
        <f>_xlfn.STDEV.S(OFFSET(D394,-Описание!$B$12,0,Описание!$B$12,1))</f>
        <v/>
      </c>
      <c r="G394" s="15">
        <f>SQRT(Описание!$B$13*G393^2+(1-Описание!$B$13)*D393^2)</f>
        <v/>
      </c>
      <c r="H394" s="17">
        <f>Описание!$B$9*F394*Описание!$B$7</f>
        <v/>
      </c>
      <c r="I394" s="17">
        <f>Описание!$B$9*G394*Описание!$B$7</f>
        <v/>
      </c>
    </row>
    <row r="395">
      <c r="A395" s="13" t="n">
        <v>39281</v>
      </c>
      <c r="B395" s="14" t="n">
        <v>1.3779</v>
      </c>
      <c r="C395" t="inlineStr">
        <is>
          <t>До</t>
        </is>
      </c>
      <c r="D395" s="15">
        <f>B395/B394-1</f>
        <v/>
      </c>
      <c r="E395" s="16">
        <f>LN(B395/B394)</f>
        <v/>
      </c>
      <c r="F395" s="15">
        <f>_xlfn.STDEV.S(OFFSET(D395,-Описание!$B$12,0,Описание!$B$12,1))</f>
        <v/>
      </c>
      <c r="G395" s="15">
        <f>SQRT(Описание!$B$13*G394^2+(1-Описание!$B$13)*D394^2)</f>
        <v/>
      </c>
      <c r="H395" s="17">
        <f>Описание!$B$9*F395*Описание!$B$7</f>
        <v/>
      </c>
      <c r="I395" s="17">
        <f>Описание!$B$9*G395*Описание!$B$7</f>
        <v/>
      </c>
    </row>
    <row r="396">
      <c r="A396" s="13" t="n">
        <v>39282</v>
      </c>
      <c r="B396" s="14" t="n">
        <v>1.382</v>
      </c>
      <c r="C396" t="inlineStr">
        <is>
          <t>До</t>
        </is>
      </c>
      <c r="D396" s="15">
        <f>B396/B395-1</f>
        <v/>
      </c>
      <c r="E396" s="16">
        <f>LN(B396/B395)</f>
        <v/>
      </c>
      <c r="F396" s="15">
        <f>_xlfn.STDEV.S(OFFSET(D396,-Описание!$B$12,0,Описание!$B$12,1))</f>
        <v/>
      </c>
      <c r="G396" s="15">
        <f>SQRT(Описание!$B$13*G395^2+(1-Описание!$B$13)*D395^2)</f>
        <v/>
      </c>
      <c r="H396" s="17">
        <f>Описание!$B$9*F396*Описание!$B$7</f>
        <v/>
      </c>
      <c r="I396" s="17">
        <f>Описание!$B$9*G396*Описание!$B$7</f>
        <v/>
      </c>
    </row>
    <row r="397">
      <c r="A397" s="13" t="n">
        <v>39283</v>
      </c>
      <c r="B397" s="14" t="n">
        <v>1.3803</v>
      </c>
      <c r="C397" t="inlineStr">
        <is>
          <t>До</t>
        </is>
      </c>
      <c r="D397" s="15">
        <f>B397/B396-1</f>
        <v/>
      </c>
      <c r="E397" s="16">
        <f>LN(B397/B396)</f>
        <v/>
      </c>
      <c r="F397" s="15">
        <f>_xlfn.STDEV.S(OFFSET(D397,-Описание!$B$12,0,Описание!$B$12,1))</f>
        <v/>
      </c>
      <c r="G397" s="15">
        <f>SQRT(Описание!$B$13*G396^2+(1-Описание!$B$13)*D396^2)</f>
        <v/>
      </c>
      <c r="H397" s="17">
        <f>Описание!$B$9*F397*Описание!$B$7</f>
        <v/>
      </c>
      <c r="I397" s="17">
        <f>Описание!$B$9*G397*Описание!$B$7</f>
        <v/>
      </c>
    </row>
    <row r="398">
      <c r="A398" s="13" t="n">
        <v>39286</v>
      </c>
      <c r="B398" s="14" t="n">
        <v>1.3821</v>
      </c>
      <c r="C398" t="inlineStr">
        <is>
          <t>До</t>
        </is>
      </c>
      <c r="D398" s="15">
        <f>B398/B397-1</f>
        <v/>
      </c>
      <c r="E398" s="16">
        <f>LN(B398/B397)</f>
        <v/>
      </c>
      <c r="F398" s="15">
        <f>_xlfn.STDEV.S(OFFSET(D398,-Описание!$B$12,0,Описание!$B$12,1))</f>
        <v/>
      </c>
      <c r="G398" s="15">
        <f>SQRT(Описание!$B$13*G397^2+(1-Описание!$B$13)*D397^2)</f>
        <v/>
      </c>
      <c r="H398" s="17">
        <f>Описание!$B$9*F398*Описание!$B$7</f>
        <v/>
      </c>
      <c r="I398" s="17">
        <f>Описание!$B$9*G398*Описание!$B$7</f>
        <v/>
      </c>
    </row>
    <row r="399">
      <c r="A399" s="13" t="n">
        <v>39287</v>
      </c>
      <c r="B399" s="14" t="n">
        <v>1.3833</v>
      </c>
      <c r="C399" t="inlineStr">
        <is>
          <t>До</t>
        </is>
      </c>
      <c r="D399" s="15">
        <f>B399/B398-1</f>
        <v/>
      </c>
      <c r="E399" s="16">
        <f>LN(B399/B398)</f>
        <v/>
      </c>
      <c r="F399" s="15">
        <f>_xlfn.STDEV.S(OFFSET(D399,-Описание!$B$12,0,Описание!$B$12,1))</f>
        <v/>
      </c>
      <c r="G399" s="15">
        <f>SQRT(Описание!$B$13*G398^2+(1-Описание!$B$13)*D398^2)</f>
        <v/>
      </c>
      <c r="H399" s="17">
        <f>Описание!$B$9*F399*Описание!$B$7</f>
        <v/>
      </c>
      <c r="I399" s="17">
        <f>Описание!$B$9*G399*Описание!$B$7</f>
        <v/>
      </c>
    </row>
    <row r="400">
      <c r="A400" s="13" t="n">
        <v>39288</v>
      </c>
      <c r="B400" s="14" t="n">
        <v>1.3743</v>
      </c>
      <c r="C400" t="inlineStr">
        <is>
          <t>До</t>
        </is>
      </c>
      <c r="D400" s="15">
        <f>B400/B399-1</f>
        <v/>
      </c>
      <c r="E400" s="16">
        <f>LN(B400/B399)</f>
        <v/>
      </c>
      <c r="F400" s="15">
        <f>_xlfn.STDEV.S(OFFSET(D400,-Описание!$B$12,0,Описание!$B$12,1))</f>
        <v/>
      </c>
      <c r="G400" s="15">
        <f>SQRT(Описание!$B$13*G399^2+(1-Описание!$B$13)*D399^2)</f>
        <v/>
      </c>
      <c r="H400" s="17">
        <f>Описание!$B$9*F400*Описание!$B$7</f>
        <v/>
      </c>
      <c r="I400" s="17">
        <f>Описание!$B$9*G400*Описание!$B$7</f>
        <v/>
      </c>
    </row>
    <row r="401">
      <c r="A401" s="13" t="n">
        <v>39289</v>
      </c>
      <c r="B401" s="14" t="n">
        <v>1.3722</v>
      </c>
      <c r="C401" t="inlineStr">
        <is>
          <t>До</t>
        </is>
      </c>
      <c r="D401" s="15">
        <f>B401/B400-1</f>
        <v/>
      </c>
      <c r="E401" s="16">
        <f>LN(B401/B400)</f>
        <v/>
      </c>
      <c r="F401" s="15">
        <f>_xlfn.STDEV.S(OFFSET(D401,-Описание!$B$12,0,Описание!$B$12,1))</f>
        <v/>
      </c>
      <c r="G401" s="15">
        <f>SQRT(Описание!$B$13*G400^2+(1-Описание!$B$13)*D400^2)</f>
        <v/>
      </c>
      <c r="H401" s="17">
        <f>Описание!$B$9*F401*Описание!$B$7</f>
        <v/>
      </c>
      <c r="I401" s="17">
        <f>Описание!$B$9*G401*Описание!$B$7</f>
        <v/>
      </c>
    </row>
    <row r="402">
      <c r="A402" s="13" t="n">
        <v>39290</v>
      </c>
      <c r="B402" s="14" t="n">
        <v>1.3651</v>
      </c>
      <c r="C402" t="inlineStr">
        <is>
          <t>До</t>
        </is>
      </c>
      <c r="D402" s="15">
        <f>B402/B401-1</f>
        <v/>
      </c>
      <c r="E402" s="16">
        <f>LN(B402/B401)</f>
        <v/>
      </c>
      <c r="F402" s="15">
        <f>_xlfn.STDEV.S(OFFSET(D402,-Описание!$B$12,0,Описание!$B$12,1))</f>
        <v/>
      </c>
      <c r="G402" s="15">
        <f>SQRT(Описание!$B$13*G401^2+(1-Описание!$B$13)*D401^2)</f>
        <v/>
      </c>
      <c r="H402" s="17">
        <f>Описание!$B$9*F402*Описание!$B$7</f>
        <v/>
      </c>
      <c r="I402" s="17">
        <f>Описание!$B$9*G402*Описание!$B$7</f>
        <v/>
      </c>
    </row>
    <row r="403">
      <c r="A403" s="13" t="n">
        <v>39293</v>
      </c>
      <c r="B403" s="14" t="n">
        <v>1.3659</v>
      </c>
      <c r="C403" t="inlineStr">
        <is>
          <t>До</t>
        </is>
      </c>
      <c r="D403" s="15">
        <f>B403/B402-1</f>
        <v/>
      </c>
      <c r="E403" s="16">
        <f>LN(B403/B402)</f>
        <v/>
      </c>
      <c r="F403" s="15">
        <f>_xlfn.STDEV.S(OFFSET(D403,-Описание!$B$12,0,Описание!$B$12,1))</f>
        <v/>
      </c>
      <c r="G403" s="15">
        <f>SQRT(Описание!$B$13*G402^2+(1-Описание!$B$13)*D402^2)</f>
        <v/>
      </c>
      <c r="H403" s="17">
        <f>Описание!$B$9*F403*Описание!$B$7</f>
        <v/>
      </c>
      <c r="I403" s="17">
        <f>Описание!$B$9*G403*Описание!$B$7</f>
        <v/>
      </c>
    </row>
    <row r="404">
      <c r="A404" s="13" t="n">
        <v>39294</v>
      </c>
      <c r="B404" s="14" t="n">
        <v>1.3707</v>
      </c>
      <c r="C404" t="inlineStr">
        <is>
          <t>До</t>
        </is>
      </c>
      <c r="D404" s="15">
        <f>B404/B403-1</f>
        <v/>
      </c>
      <c r="E404" s="16">
        <f>LN(B404/B403)</f>
        <v/>
      </c>
      <c r="F404" s="15">
        <f>_xlfn.STDEV.S(OFFSET(D404,-Описание!$B$12,0,Описание!$B$12,1))</f>
        <v/>
      </c>
      <c r="G404" s="15">
        <f>SQRT(Описание!$B$13*G403^2+(1-Описание!$B$13)*D403^2)</f>
        <v/>
      </c>
      <c r="H404" s="17">
        <f>Описание!$B$9*F404*Описание!$B$7</f>
        <v/>
      </c>
      <c r="I404" s="17">
        <f>Описание!$B$9*G404*Описание!$B$7</f>
        <v/>
      </c>
    </row>
    <row r="405">
      <c r="A405" s="13" t="n">
        <v>39295</v>
      </c>
      <c r="B405" s="14" t="n">
        <v>1.3663</v>
      </c>
      <c r="C405" t="inlineStr">
        <is>
          <t>До</t>
        </is>
      </c>
      <c r="D405" s="15">
        <f>B405/B404-1</f>
        <v/>
      </c>
      <c r="E405" s="16">
        <f>LN(B405/B404)</f>
        <v/>
      </c>
      <c r="F405" s="15">
        <f>_xlfn.STDEV.S(OFFSET(D405,-Описание!$B$12,0,Описание!$B$12,1))</f>
        <v/>
      </c>
      <c r="G405" s="15">
        <f>SQRT(Описание!$B$13*G404^2+(1-Описание!$B$13)*D404^2)</f>
        <v/>
      </c>
      <c r="H405" s="17">
        <f>Описание!$B$9*F405*Описание!$B$7</f>
        <v/>
      </c>
      <c r="I405" s="17">
        <f>Описание!$B$9*G405*Описание!$B$7</f>
        <v/>
      </c>
    </row>
    <row r="406">
      <c r="A406" s="13" t="n">
        <v>39296</v>
      </c>
      <c r="B406" s="14" t="n">
        <v>1.3664</v>
      </c>
      <c r="C406" t="inlineStr">
        <is>
          <t>До</t>
        </is>
      </c>
      <c r="D406" s="15">
        <f>B406/B405-1</f>
        <v/>
      </c>
      <c r="E406" s="16">
        <f>LN(B406/B405)</f>
        <v/>
      </c>
      <c r="F406" s="15">
        <f>_xlfn.STDEV.S(OFFSET(D406,-Описание!$B$12,0,Описание!$B$12,1))</f>
        <v/>
      </c>
      <c r="G406" s="15">
        <f>SQRT(Описание!$B$13*G405^2+(1-Описание!$B$13)*D405^2)</f>
        <v/>
      </c>
      <c r="H406" s="17">
        <f>Описание!$B$9*F406*Описание!$B$7</f>
        <v/>
      </c>
      <c r="I406" s="17">
        <f>Описание!$B$9*G406*Описание!$B$7</f>
        <v/>
      </c>
    </row>
    <row r="407">
      <c r="A407" s="13" t="n">
        <v>39297</v>
      </c>
      <c r="B407" s="14" t="n">
        <v>1.3694</v>
      </c>
      <c r="C407" t="inlineStr">
        <is>
          <t>До</t>
        </is>
      </c>
      <c r="D407" s="15">
        <f>B407/B406-1</f>
        <v/>
      </c>
      <c r="E407" s="16">
        <f>LN(B407/B406)</f>
        <v/>
      </c>
      <c r="F407" s="15">
        <f>_xlfn.STDEV.S(OFFSET(D407,-Описание!$B$12,0,Описание!$B$12,1))</f>
        <v/>
      </c>
      <c r="G407" s="15">
        <f>SQRT(Описание!$B$13*G406^2+(1-Описание!$B$13)*D406^2)</f>
        <v/>
      </c>
      <c r="H407" s="17">
        <f>Описание!$B$9*F407*Описание!$B$7</f>
        <v/>
      </c>
      <c r="I407" s="17">
        <f>Описание!$B$9*G407*Описание!$B$7</f>
        <v/>
      </c>
    </row>
    <row r="408">
      <c r="A408" s="13" t="n">
        <v>39300</v>
      </c>
      <c r="B408" s="14" t="n">
        <v>1.3818</v>
      </c>
      <c r="C408" t="inlineStr">
        <is>
          <t>До</t>
        </is>
      </c>
      <c r="D408" s="15">
        <f>B408/B407-1</f>
        <v/>
      </c>
      <c r="E408" s="16">
        <f>LN(B408/B407)</f>
        <v/>
      </c>
      <c r="F408" s="15">
        <f>_xlfn.STDEV.S(OFFSET(D408,-Описание!$B$12,0,Описание!$B$12,1))</f>
        <v/>
      </c>
      <c r="G408" s="15">
        <f>SQRT(Описание!$B$13*G407^2+(1-Описание!$B$13)*D407^2)</f>
        <v/>
      </c>
      <c r="H408" s="17">
        <f>Описание!$B$9*F408*Описание!$B$7</f>
        <v/>
      </c>
      <c r="I408" s="17">
        <f>Описание!$B$9*G408*Описание!$B$7</f>
        <v/>
      </c>
    </row>
    <row r="409">
      <c r="A409" s="13" t="n">
        <v>39301</v>
      </c>
      <c r="B409" s="14" t="n">
        <v>1.3794</v>
      </c>
      <c r="C409" t="inlineStr">
        <is>
          <t>До</t>
        </is>
      </c>
      <c r="D409" s="15">
        <f>B409/B408-1</f>
        <v/>
      </c>
      <c r="E409" s="16">
        <f>LN(B409/B408)</f>
        <v/>
      </c>
      <c r="F409" s="15">
        <f>_xlfn.STDEV.S(OFFSET(D409,-Описание!$B$12,0,Описание!$B$12,1))</f>
        <v/>
      </c>
      <c r="G409" s="15">
        <f>SQRT(Описание!$B$13*G408^2+(1-Описание!$B$13)*D408^2)</f>
        <v/>
      </c>
      <c r="H409" s="17">
        <f>Описание!$B$9*F409*Описание!$B$7</f>
        <v/>
      </c>
      <c r="I409" s="17">
        <f>Описание!$B$9*G409*Описание!$B$7</f>
        <v/>
      </c>
    </row>
    <row r="410">
      <c r="A410" s="13" t="n">
        <v>39302</v>
      </c>
      <c r="B410" s="14" t="n">
        <v>1.3794</v>
      </c>
      <c r="C410" t="inlineStr">
        <is>
          <t>До</t>
        </is>
      </c>
      <c r="D410" s="15">
        <f>B410/B409-1</f>
        <v/>
      </c>
      <c r="E410" s="16">
        <f>LN(B410/B409)</f>
        <v/>
      </c>
      <c r="F410" s="15">
        <f>_xlfn.STDEV.S(OFFSET(D410,-Описание!$B$12,0,Описание!$B$12,1))</f>
        <v/>
      </c>
      <c r="G410" s="15">
        <f>SQRT(Описание!$B$13*G409^2+(1-Описание!$B$13)*D409^2)</f>
        <v/>
      </c>
      <c r="H410" s="17">
        <f>Описание!$B$9*F410*Описание!$B$7</f>
        <v/>
      </c>
      <c r="I410" s="17">
        <f>Описание!$B$9*G410*Описание!$B$7</f>
        <v/>
      </c>
    </row>
    <row r="411">
      <c r="A411" s="13" t="n">
        <v>39303</v>
      </c>
      <c r="B411" s="14" t="n">
        <v>1.3729</v>
      </c>
      <c r="C411" t="inlineStr">
        <is>
          <t>До</t>
        </is>
      </c>
      <c r="D411" s="15">
        <f>B411/B410-1</f>
        <v/>
      </c>
      <c r="E411" s="16">
        <f>LN(B411/B410)</f>
        <v/>
      </c>
      <c r="F411" s="15">
        <f>_xlfn.STDEV.S(OFFSET(D411,-Описание!$B$12,0,Описание!$B$12,1))</f>
        <v/>
      </c>
      <c r="G411" s="15">
        <f>SQRT(Описание!$B$13*G410^2+(1-Описание!$B$13)*D410^2)</f>
        <v/>
      </c>
      <c r="H411" s="17">
        <f>Описание!$B$9*F411*Описание!$B$7</f>
        <v/>
      </c>
      <c r="I411" s="17">
        <f>Описание!$B$9*G411*Описание!$B$7</f>
        <v/>
      </c>
    </row>
    <row r="412">
      <c r="A412" s="13" t="n">
        <v>39304</v>
      </c>
      <c r="B412" s="14" t="n">
        <v>1.365</v>
      </c>
      <c r="C412" t="inlineStr">
        <is>
          <t>До</t>
        </is>
      </c>
      <c r="D412" s="15">
        <f>B412/B411-1</f>
        <v/>
      </c>
      <c r="E412" s="16">
        <f>LN(B412/B411)</f>
        <v/>
      </c>
      <c r="F412" s="15">
        <f>_xlfn.STDEV.S(OFFSET(D412,-Описание!$B$12,0,Описание!$B$12,1))</f>
        <v/>
      </c>
      <c r="G412" s="15">
        <f>SQRT(Описание!$B$13*G411^2+(1-Описание!$B$13)*D411^2)</f>
        <v/>
      </c>
      <c r="H412" s="17">
        <f>Описание!$B$9*F412*Описание!$B$7</f>
        <v/>
      </c>
      <c r="I412" s="17">
        <f>Описание!$B$9*G412*Описание!$B$7</f>
        <v/>
      </c>
    </row>
    <row r="413">
      <c r="A413" s="13" t="n">
        <v>39307</v>
      </c>
      <c r="B413" s="14" t="n">
        <v>1.3651</v>
      </c>
      <c r="C413" t="inlineStr">
        <is>
          <t>До</t>
        </is>
      </c>
      <c r="D413" s="15">
        <f>B413/B412-1</f>
        <v/>
      </c>
      <c r="E413" s="16">
        <f>LN(B413/B412)</f>
        <v/>
      </c>
      <c r="F413" s="15">
        <f>_xlfn.STDEV.S(OFFSET(D413,-Описание!$B$12,0,Описание!$B$12,1))</f>
        <v/>
      </c>
      <c r="G413" s="15">
        <f>SQRT(Описание!$B$13*G412^2+(1-Описание!$B$13)*D412^2)</f>
        <v/>
      </c>
      <c r="H413" s="17">
        <f>Описание!$B$9*F413*Описание!$B$7</f>
        <v/>
      </c>
      <c r="I413" s="17">
        <f>Описание!$B$9*G413*Описание!$B$7</f>
        <v/>
      </c>
    </row>
    <row r="414">
      <c r="A414" s="13" t="n">
        <v>39308</v>
      </c>
      <c r="B414" s="14" t="n">
        <v>1.3591</v>
      </c>
      <c r="C414" t="inlineStr">
        <is>
          <t>До</t>
        </is>
      </c>
      <c r="D414" s="15">
        <f>B414/B413-1</f>
        <v/>
      </c>
      <c r="E414" s="16">
        <f>LN(B414/B413)</f>
        <v/>
      </c>
      <c r="F414" s="15">
        <f>_xlfn.STDEV.S(OFFSET(D414,-Описание!$B$12,0,Описание!$B$12,1))</f>
        <v/>
      </c>
      <c r="G414" s="15">
        <f>SQRT(Описание!$B$13*G413^2+(1-Описание!$B$13)*D413^2)</f>
        <v/>
      </c>
      <c r="H414" s="17">
        <f>Описание!$B$9*F414*Описание!$B$7</f>
        <v/>
      </c>
      <c r="I414" s="17">
        <f>Описание!$B$9*G414*Описание!$B$7</f>
        <v/>
      </c>
    </row>
    <row r="415">
      <c r="A415" s="13" t="n">
        <v>39309</v>
      </c>
      <c r="B415" s="14" t="n">
        <v>1.3476</v>
      </c>
      <c r="C415" t="inlineStr">
        <is>
          <t>До</t>
        </is>
      </c>
      <c r="D415" s="15">
        <f>B415/B414-1</f>
        <v/>
      </c>
      <c r="E415" s="16">
        <f>LN(B415/B414)</f>
        <v/>
      </c>
      <c r="F415" s="15">
        <f>_xlfn.STDEV.S(OFFSET(D415,-Описание!$B$12,0,Описание!$B$12,1))</f>
        <v/>
      </c>
      <c r="G415" s="15">
        <f>SQRT(Описание!$B$13*G414^2+(1-Описание!$B$13)*D414^2)</f>
        <v/>
      </c>
      <c r="H415" s="17">
        <f>Описание!$B$9*F415*Описание!$B$7</f>
        <v/>
      </c>
      <c r="I415" s="17">
        <f>Описание!$B$9*G415*Описание!$B$7</f>
        <v/>
      </c>
    </row>
    <row r="416">
      <c r="A416" s="13" t="n">
        <v>39310</v>
      </c>
      <c r="B416" s="14" t="n">
        <v>1.3405</v>
      </c>
      <c r="C416" t="inlineStr">
        <is>
          <t>До</t>
        </is>
      </c>
      <c r="D416" s="15">
        <f>B416/B415-1</f>
        <v/>
      </c>
      <c r="E416" s="16">
        <f>LN(B416/B415)</f>
        <v/>
      </c>
      <c r="F416" s="15">
        <f>_xlfn.STDEV.S(OFFSET(D416,-Описание!$B$12,0,Описание!$B$12,1))</f>
        <v/>
      </c>
      <c r="G416" s="15">
        <f>SQRT(Описание!$B$13*G415^2+(1-Описание!$B$13)*D415^2)</f>
        <v/>
      </c>
      <c r="H416" s="17">
        <f>Описание!$B$9*F416*Описание!$B$7</f>
        <v/>
      </c>
      <c r="I416" s="17">
        <f>Описание!$B$9*G416*Описание!$B$7</f>
        <v/>
      </c>
    </row>
    <row r="417">
      <c r="A417" s="13" t="n">
        <v>39311</v>
      </c>
      <c r="B417" s="14" t="n">
        <v>1.3454</v>
      </c>
      <c r="C417" t="inlineStr">
        <is>
          <t>До</t>
        </is>
      </c>
      <c r="D417" s="15">
        <f>B417/B416-1</f>
        <v/>
      </c>
      <c r="E417" s="16">
        <f>LN(B417/B416)</f>
        <v/>
      </c>
      <c r="F417" s="15">
        <f>_xlfn.STDEV.S(OFFSET(D417,-Описание!$B$12,0,Описание!$B$12,1))</f>
        <v/>
      </c>
      <c r="G417" s="15">
        <f>SQRT(Описание!$B$13*G416^2+(1-Описание!$B$13)*D416^2)</f>
        <v/>
      </c>
      <c r="H417" s="17">
        <f>Описание!$B$9*F417*Описание!$B$7</f>
        <v/>
      </c>
      <c r="I417" s="17">
        <f>Описание!$B$9*G417*Описание!$B$7</f>
        <v/>
      </c>
    </row>
    <row r="418">
      <c r="A418" s="13" t="n">
        <v>39314</v>
      </c>
      <c r="B418" s="14" t="n">
        <v>1.3476</v>
      </c>
      <c r="C418" t="inlineStr">
        <is>
          <t>До</t>
        </is>
      </c>
      <c r="D418" s="15">
        <f>B418/B417-1</f>
        <v/>
      </c>
      <c r="E418" s="16">
        <f>LN(B418/B417)</f>
        <v/>
      </c>
      <c r="F418" s="15">
        <f>_xlfn.STDEV.S(OFFSET(D418,-Описание!$B$12,0,Описание!$B$12,1))</f>
        <v/>
      </c>
      <c r="G418" s="15">
        <f>SQRT(Описание!$B$13*G417^2+(1-Описание!$B$13)*D417^2)</f>
        <v/>
      </c>
      <c r="H418" s="17">
        <f>Описание!$B$9*F418*Описание!$B$7</f>
        <v/>
      </c>
      <c r="I418" s="17">
        <f>Описание!$B$9*G418*Описание!$B$7</f>
        <v/>
      </c>
    </row>
    <row r="419">
      <c r="A419" s="13" t="n">
        <v>39315</v>
      </c>
      <c r="B419" s="14" t="n">
        <v>1.3508</v>
      </c>
      <c r="C419" t="inlineStr">
        <is>
          <t>До</t>
        </is>
      </c>
      <c r="D419" s="15">
        <f>B419/B418-1</f>
        <v/>
      </c>
      <c r="E419" s="16">
        <f>LN(B419/B418)</f>
        <v/>
      </c>
      <c r="F419" s="15">
        <f>_xlfn.STDEV.S(OFFSET(D419,-Описание!$B$12,0,Описание!$B$12,1))</f>
        <v/>
      </c>
      <c r="G419" s="15">
        <f>SQRT(Описание!$B$13*G418^2+(1-Описание!$B$13)*D418^2)</f>
        <v/>
      </c>
      <c r="H419" s="17">
        <f>Описание!$B$9*F419*Описание!$B$7</f>
        <v/>
      </c>
      <c r="I419" s="17">
        <f>Описание!$B$9*G419*Описание!$B$7</f>
        <v/>
      </c>
    </row>
    <row r="420">
      <c r="A420" s="13" t="n">
        <v>39316</v>
      </c>
      <c r="B420" s="14" t="n">
        <v>1.3493</v>
      </c>
      <c r="C420" t="inlineStr">
        <is>
          <t>До</t>
        </is>
      </c>
      <c r="D420" s="15">
        <f>B420/B419-1</f>
        <v/>
      </c>
      <c r="E420" s="16">
        <f>LN(B420/B419)</f>
        <v/>
      </c>
      <c r="F420" s="15">
        <f>_xlfn.STDEV.S(OFFSET(D420,-Описание!$B$12,0,Описание!$B$12,1))</f>
        <v/>
      </c>
      <c r="G420" s="15">
        <f>SQRT(Описание!$B$13*G419^2+(1-Описание!$B$13)*D419^2)</f>
        <v/>
      </c>
      <c r="H420" s="17">
        <f>Описание!$B$9*F420*Описание!$B$7</f>
        <v/>
      </c>
      <c r="I420" s="17">
        <f>Описание!$B$9*G420*Описание!$B$7</f>
        <v/>
      </c>
    </row>
    <row r="421">
      <c r="A421" s="13" t="n">
        <v>39317</v>
      </c>
      <c r="B421" s="14" t="n">
        <v>1.3574</v>
      </c>
      <c r="C421" t="inlineStr">
        <is>
          <t>До</t>
        </is>
      </c>
      <c r="D421" s="15">
        <f>B421/B420-1</f>
        <v/>
      </c>
      <c r="E421" s="16">
        <f>LN(B421/B420)</f>
        <v/>
      </c>
      <c r="F421" s="15">
        <f>_xlfn.STDEV.S(OFFSET(D421,-Описание!$B$12,0,Описание!$B$12,1))</f>
        <v/>
      </c>
      <c r="G421" s="15">
        <f>SQRT(Описание!$B$13*G420^2+(1-Описание!$B$13)*D420^2)</f>
        <v/>
      </c>
      <c r="H421" s="17">
        <f>Описание!$B$9*F421*Описание!$B$7</f>
        <v/>
      </c>
      <c r="I421" s="17">
        <f>Описание!$B$9*G421*Описание!$B$7</f>
        <v/>
      </c>
    </row>
    <row r="422">
      <c r="A422" s="13" t="n">
        <v>39318</v>
      </c>
      <c r="B422" s="14" t="n">
        <v>1.3615</v>
      </c>
      <c r="C422" t="inlineStr">
        <is>
          <t>До</t>
        </is>
      </c>
      <c r="D422" s="15">
        <f>B422/B421-1</f>
        <v/>
      </c>
      <c r="E422" s="16">
        <f>LN(B422/B421)</f>
        <v/>
      </c>
      <c r="F422" s="15">
        <f>_xlfn.STDEV.S(OFFSET(D422,-Описание!$B$12,0,Описание!$B$12,1))</f>
        <v/>
      </c>
      <c r="G422" s="15">
        <f>SQRT(Описание!$B$13*G421^2+(1-Описание!$B$13)*D421^2)</f>
        <v/>
      </c>
      <c r="H422" s="17">
        <f>Описание!$B$9*F422*Описание!$B$7</f>
        <v/>
      </c>
      <c r="I422" s="17">
        <f>Описание!$B$9*G422*Описание!$B$7</f>
        <v/>
      </c>
    </row>
    <row r="423">
      <c r="A423" s="13" t="n">
        <v>39321</v>
      </c>
      <c r="B423" s="14" t="n">
        <v>1.3658</v>
      </c>
      <c r="C423" t="inlineStr">
        <is>
          <t>До</t>
        </is>
      </c>
      <c r="D423" s="15">
        <f>B423/B422-1</f>
        <v/>
      </c>
      <c r="E423" s="16">
        <f>LN(B423/B422)</f>
        <v/>
      </c>
      <c r="F423" s="15">
        <f>_xlfn.STDEV.S(OFFSET(D423,-Описание!$B$12,0,Описание!$B$12,1))</f>
        <v/>
      </c>
      <c r="G423" s="15">
        <f>SQRT(Описание!$B$13*G422^2+(1-Описание!$B$13)*D422^2)</f>
        <v/>
      </c>
      <c r="H423" s="17">
        <f>Описание!$B$9*F423*Описание!$B$7</f>
        <v/>
      </c>
      <c r="I423" s="17">
        <f>Описание!$B$9*G423*Описание!$B$7</f>
        <v/>
      </c>
    </row>
    <row r="424">
      <c r="A424" s="13" t="n">
        <v>39322</v>
      </c>
      <c r="B424" s="14" t="n">
        <v>1.3664</v>
      </c>
      <c r="C424" t="inlineStr">
        <is>
          <t>До</t>
        </is>
      </c>
      <c r="D424" s="15">
        <f>B424/B423-1</f>
        <v/>
      </c>
      <c r="E424" s="16">
        <f>LN(B424/B423)</f>
        <v/>
      </c>
      <c r="F424" s="15">
        <f>_xlfn.STDEV.S(OFFSET(D424,-Описание!$B$12,0,Описание!$B$12,1))</f>
        <v/>
      </c>
      <c r="G424" s="15">
        <f>SQRT(Описание!$B$13*G423^2+(1-Описание!$B$13)*D423^2)</f>
        <v/>
      </c>
      <c r="H424" s="17">
        <f>Описание!$B$9*F424*Описание!$B$7</f>
        <v/>
      </c>
      <c r="I424" s="17">
        <f>Описание!$B$9*G424*Описание!$B$7</f>
        <v/>
      </c>
    </row>
    <row r="425">
      <c r="A425" s="13" t="n">
        <v>39323</v>
      </c>
      <c r="B425" s="14" t="n">
        <v>1.3631</v>
      </c>
      <c r="C425" t="inlineStr">
        <is>
          <t>До</t>
        </is>
      </c>
      <c r="D425" s="15">
        <f>B425/B424-1</f>
        <v/>
      </c>
      <c r="E425" s="16">
        <f>LN(B425/B424)</f>
        <v/>
      </c>
      <c r="F425" s="15">
        <f>_xlfn.STDEV.S(OFFSET(D425,-Описание!$B$12,0,Описание!$B$12,1))</f>
        <v/>
      </c>
      <c r="G425" s="15">
        <f>SQRT(Описание!$B$13*G424^2+(1-Описание!$B$13)*D424^2)</f>
        <v/>
      </c>
      <c r="H425" s="17">
        <f>Описание!$B$9*F425*Описание!$B$7</f>
        <v/>
      </c>
      <c r="I425" s="17">
        <f>Описание!$B$9*G425*Описание!$B$7</f>
        <v/>
      </c>
    </row>
    <row r="426">
      <c r="A426" s="13" t="n">
        <v>39324</v>
      </c>
      <c r="B426" s="14" t="n">
        <v>1.361</v>
      </c>
      <c r="C426" t="inlineStr">
        <is>
          <t>До</t>
        </is>
      </c>
      <c r="D426" s="15">
        <f>B426/B425-1</f>
        <v/>
      </c>
      <c r="E426" s="16">
        <f>LN(B426/B425)</f>
        <v/>
      </c>
      <c r="F426" s="15">
        <f>_xlfn.STDEV.S(OFFSET(D426,-Описание!$B$12,0,Описание!$B$12,1))</f>
        <v/>
      </c>
      <c r="G426" s="15">
        <f>SQRT(Описание!$B$13*G425^2+(1-Описание!$B$13)*D425^2)</f>
        <v/>
      </c>
      <c r="H426" s="17">
        <f>Описание!$B$9*F426*Описание!$B$7</f>
        <v/>
      </c>
      <c r="I426" s="17">
        <f>Описание!$B$9*G426*Описание!$B$7</f>
        <v/>
      </c>
    </row>
    <row r="427">
      <c r="A427" s="13" t="n">
        <v>39325</v>
      </c>
      <c r="B427" s="14" t="n">
        <v>1.3705</v>
      </c>
      <c r="C427" t="inlineStr">
        <is>
          <t>До</t>
        </is>
      </c>
      <c r="D427" s="15">
        <f>B427/B426-1</f>
        <v/>
      </c>
      <c r="E427" s="16">
        <f>LN(B427/B426)</f>
        <v/>
      </c>
      <c r="F427" s="15">
        <f>_xlfn.STDEV.S(OFFSET(D427,-Описание!$B$12,0,Описание!$B$12,1))</f>
        <v/>
      </c>
      <c r="G427" s="15">
        <f>SQRT(Описание!$B$13*G426^2+(1-Описание!$B$13)*D426^2)</f>
        <v/>
      </c>
      <c r="H427" s="17">
        <f>Описание!$B$9*F427*Описание!$B$7</f>
        <v/>
      </c>
      <c r="I427" s="17">
        <f>Описание!$B$9*G427*Описание!$B$7</f>
        <v/>
      </c>
    </row>
    <row r="428">
      <c r="A428" s="13" t="n">
        <v>39328</v>
      </c>
      <c r="B428" s="14" t="n">
        <v>1.3632</v>
      </c>
      <c r="C428" t="inlineStr">
        <is>
          <t>До</t>
        </is>
      </c>
      <c r="D428" s="15">
        <f>B428/B427-1</f>
        <v/>
      </c>
      <c r="E428" s="16">
        <f>LN(B428/B427)</f>
        <v/>
      </c>
      <c r="F428" s="15">
        <f>_xlfn.STDEV.S(OFFSET(D428,-Описание!$B$12,0,Описание!$B$12,1))</f>
        <v/>
      </c>
      <c r="G428" s="15">
        <f>SQRT(Описание!$B$13*G427^2+(1-Описание!$B$13)*D427^2)</f>
        <v/>
      </c>
      <c r="H428" s="17">
        <f>Описание!$B$9*F428*Описание!$B$7</f>
        <v/>
      </c>
      <c r="I428" s="17">
        <f>Описание!$B$9*G428*Описание!$B$7</f>
        <v/>
      </c>
    </row>
    <row r="429">
      <c r="A429" s="13" t="n">
        <v>39329</v>
      </c>
      <c r="B429" s="14" t="n">
        <v>1.358</v>
      </c>
      <c r="C429" t="inlineStr">
        <is>
          <t>До</t>
        </is>
      </c>
      <c r="D429" s="15">
        <f>B429/B428-1</f>
        <v/>
      </c>
      <c r="E429" s="16">
        <f>LN(B429/B428)</f>
        <v/>
      </c>
      <c r="F429" s="15">
        <f>_xlfn.STDEV.S(OFFSET(D429,-Описание!$B$12,0,Описание!$B$12,1))</f>
        <v/>
      </c>
      <c r="G429" s="15">
        <f>SQRT(Описание!$B$13*G428^2+(1-Описание!$B$13)*D428^2)</f>
        <v/>
      </c>
      <c r="H429" s="17">
        <f>Описание!$B$9*F429*Описание!$B$7</f>
        <v/>
      </c>
      <c r="I429" s="17">
        <f>Описание!$B$9*G429*Описание!$B$7</f>
        <v/>
      </c>
    </row>
    <row r="430">
      <c r="A430" s="13" t="n">
        <v>39330</v>
      </c>
      <c r="B430" s="14" t="n">
        <v>1.3588</v>
      </c>
      <c r="C430" t="inlineStr">
        <is>
          <t>До</t>
        </is>
      </c>
      <c r="D430" s="15">
        <f>B430/B429-1</f>
        <v/>
      </c>
      <c r="E430" s="16">
        <f>LN(B430/B429)</f>
        <v/>
      </c>
      <c r="F430" s="15">
        <f>_xlfn.STDEV.S(OFFSET(D430,-Описание!$B$12,0,Описание!$B$12,1))</f>
        <v/>
      </c>
      <c r="G430" s="15">
        <f>SQRT(Описание!$B$13*G429^2+(1-Описание!$B$13)*D429^2)</f>
        <v/>
      </c>
      <c r="H430" s="17">
        <f>Описание!$B$9*F430*Описание!$B$7</f>
        <v/>
      </c>
      <c r="I430" s="17">
        <f>Описание!$B$9*G430*Описание!$B$7</f>
        <v/>
      </c>
    </row>
    <row r="431">
      <c r="A431" s="13" t="n">
        <v>39331</v>
      </c>
      <c r="B431" s="14" t="n">
        <v>1.3669</v>
      </c>
      <c r="C431" t="inlineStr">
        <is>
          <t>До</t>
        </is>
      </c>
      <c r="D431" s="15">
        <f>B431/B430-1</f>
        <v/>
      </c>
      <c r="E431" s="16">
        <f>LN(B431/B430)</f>
        <v/>
      </c>
      <c r="F431" s="15">
        <f>_xlfn.STDEV.S(OFFSET(D431,-Описание!$B$12,0,Описание!$B$12,1))</f>
        <v/>
      </c>
      <c r="G431" s="15">
        <f>SQRT(Описание!$B$13*G430^2+(1-Описание!$B$13)*D430^2)</f>
        <v/>
      </c>
      <c r="H431" s="17">
        <f>Описание!$B$9*F431*Описание!$B$7</f>
        <v/>
      </c>
      <c r="I431" s="17">
        <f>Описание!$B$9*G431*Описание!$B$7</f>
        <v/>
      </c>
    </row>
    <row r="432">
      <c r="A432" s="13" t="n">
        <v>39332</v>
      </c>
      <c r="B432" s="14" t="n">
        <v>1.3696</v>
      </c>
      <c r="C432" t="inlineStr">
        <is>
          <t>До</t>
        </is>
      </c>
      <c r="D432" s="15">
        <f>B432/B431-1</f>
        <v/>
      </c>
      <c r="E432" s="16">
        <f>LN(B432/B431)</f>
        <v/>
      </c>
      <c r="F432" s="15">
        <f>_xlfn.STDEV.S(OFFSET(D432,-Описание!$B$12,0,Описание!$B$12,1))</f>
        <v/>
      </c>
      <c r="G432" s="15">
        <f>SQRT(Описание!$B$13*G431^2+(1-Описание!$B$13)*D431^2)</f>
        <v/>
      </c>
      <c r="H432" s="17">
        <f>Описание!$B$9*F432*Описание!$B$7</f>
        <v/>
      </c>
      <c r="I432" s="17">
        <f>Описание!$B$9*G432*Описание!$B$7</f>
        <v/>
      </c>
    </row>
    <row r="433">
      <c r="A433" s="13" t="n">
        <v>39335</v>
      </c>
      <c r="B433" s="14" t="n">
        <v>1.3795</v>
      </c>
      <c r="C433" t="inlineStr">
        <is>
          <t>До</t>
        </is>
      </c>
      <c r="D433" s="15">
        <f>B433/B432-1</f>
        <v/>
      </c>
      <c r="E433" s="16">
        <f>LN(B433/B432)</f>
        <v/>
      </c>
      <c r="F433" s="15">
        <f>_xlfn.STDEV.S(OFFSET(D433,-Описание!$B$12,0,Описание!$B$12,1))</f>
        <v/>
      </c>
      <c r="G433" s="15">
        <f>SQRT(Описание!$B$13*G432^2+(1-Описание!$B$13)*D432^2)</f>
        <v/>
      </c>
      <c r="H433" s="17">
        <f>Описание!$B$9*F433*Описание!$B$7</f>
        <v/>
      </c>
      <c r="I433" s="17">
        <f>Описание!$B$9*G433*Описание!$B$7</f>
        <v/>
      </c>
    </row>
    <row r="434">
      <c r="A434" s="13" t="n">
        <v>39336</v>
      </c>
      <c r="B434" s="14" t="n">
        <v>1.3824</v>
      </c>
      <c r="C434" t="inlineStr">
        <is>
          <t>До</t>
        </is>
      </c>
      <c r="D434" s="15">
        <f>B434/B433-1</f>
        <v/>
      </c>
      <c r="E434" s="16">
        <f>LN(B434/B433)</f>
        <v/>
      </c>
      <c r="F434" s="15">
        <f>_xlfn.STDEV.S(OFFSET(D434,-Описание!$B$12,0,Описание!$B$12,1))</f>
        <v/>
      </c>
      <c r="G434" s="15">
        <f>SQRT(Описание!$B$13*G433^2+(1-Описание!$B$13)*D433^2)</f>
        <v/>
      </c>
      <c r="H434" s="17">
        <f>Описание!$B$9*F434*Описание!$B$7</f>
        <v/>
      </c>
      <c r="I434" s="17">
        <f>Описание!$B$9*G434*Описание!$B$7</f>
        <v/>
      </c>
    </row>
    <row r="435">
      <c r="A435" s="13" t="n">
        <v>39337</v>
      </c>
      <c r="B435" s="14" t="n">
        <v>1.3885</v>
      </c>
      <c r="C435" t="inlineStr">
        <is>
          <t>До</t>
        </is>
      </c>
      <c r="D435" s="15">
        <f>B435/B434-1</f>
        <v/>
      </c>
      <c r="E435" s="16">
        <f>LN(B435/B434)</f>
        <v/>
      </c>
      <c r="F435" s="15">
        <f>_xlfn.STDEV.S(OFFSET(D435,-Описание!$B$12,0,Описание!$B$12,1))</f>
        <v/>
      </c>
      <c r="G435" s="15">
        <f>SQRT(Описание!$B$13*G434^2+(1-Описание!$B$13)*D434^2)</f>
        <v/>
      </c>
      <c r="H435" s="17">
        <f>Описание!$B$9*F435*Описание!$B$7</f>
        <v/>
      </c>
      <c r="I435" s="17">
        <f>Описание!$B$9*G435*Описание!$B$7</f>
        <v/>
      </c>
    </row>
    <row r="436">
      <c r="A436" s="13" t="n">
        <v>39338</v>
      </c>
      <c r="B436" s="14" t="n">
        <v>1.3897</v>
      </c>
      <c r="C436" t="inlineStr">
        <is>
          <t>До</t>
        </is>
      </c>
      <c r="D436" s="15">
        <f>B436/B435-1</f>
        <v/>
      </c>
      <c r="E436" s="16">
        <f>LN(B436/B435)</f>
        <v/>
      </c>
      <c r="F436" s="15">
        <f>_xlfn.STDEV.S(OFFSET(D436,-Описание!$B$12,0,Описание!$B$12,1))</f>
        <v/>
      </c>
      <c r="G436" s="15">
        <f>SQRT(Описание!$B$13*G435^2+(1-Описание!$B$13)*D435^2)</f>
        <v/>
      </c>
      <c r="H436" s="17">
        <f>Описание!$B$9*F436*Описание!$B$7</f>
        <v/>
      </c>
      <c r="I436" s="17">
        <f>Описание!$B$9*G436*Описание!$B$7</f>
        <v/>
      </c>
    </row>
    <row r="437">
      <c r="A437" s="13" t="n">
        <v>39339</v>
      </c>
      <c r="B437" s="14" t="n">
        <v>1.386</v>
      </c>
      <c r="C437" t="inlineStr">
        <is>
          <t>До</t>
        </is>
      </c>
      <c r="D437" s="15">
        <f>B437/B436-1</f>
        <v/>
      </c>
      <c r="E437" s="16">
        <f>LN(B437/B436)</f>
        <v/>
      </c>
      <c r="F437" s="15">
        <f>_xlfn.STDEV.S(OFFSET(D437,-Описание!$B$12,0,Описание!$B$12,1))</f>
        <v/>
      </c>
      <c r="G437" s="15">
        <f>SQRT(Описание!$B$13*G436^2+(1-Описание!$B$13)*D436^2)</f>
        <v/>
      </c>
      <c r="H437" s="17">
        <f>Описание!$B$9*F437*Описание!$B$7</f>
        <v/>
      </c>
      <c r="I437" s="17">
        <f>Описание!$B$9*G437*Описание!$B$7</f>
        <v/>
      </c>
    </row>
    <row r="438">
      <c r="A438" s="13" t="n">
        <v>39342</v>
      </c>
      <c r="B438" s="14" t="n">
        <v>1.3877</v>
      </c>
      <c r="C438" t="inlineStr">
        <is>
          <t>До</t>
        </is>
      </c>
      <c r="D438" s="15">
        <f>B438/B437-1</f>
        <v/>
      </c>
      <c r="E438" s="16">
        <f>LN(B438/B437)</f>
        <v/>
      </c>
      <c r="F438" s="15">
        <f>_xlfn.STDEV.S(OFFSET(D438,-Описание!$B$12,0,Описание!$B$12,1))</f>
        <v/>
      </c>
      <c r="G438" s="15">
        <f>SQRT(Описание!$B$13*G437^2+(1-Описание!$B$13)*D437^2)</f>
        <v/>
      </c>
      <c r="H438" s="17">
        <f>Описание!$B$9*F438*Описание!$B$7</f>
        <v/>
      </c>
      <c r="I438" s="17">
        <f>Описание!$B$9*G438*Описание!$B$7</f>
        <v/>
      </c>
    </row>
    <row r="439">
      <c r="A439" s="13" t="n">
        <v>39343</v>
      </c>
      <c r="B439" s="14" t="n">
        <v>1.3867</v>
      </c>
      <c r="C439" t="inlineStr">
        <is>
          <t>До</t>
        </is>
      </c>
      <c r="D439" s="15">
        <f>B439/B438-1</f>
        <v/>
      </c>
      <c r="E439" s="16">
        <f>LN(B439/B438)</f>
        <v/>
      </c>
      <c r="F439" s="15">
        <f>_xlfn.STDEV.S(OFFSET(D439,-Описание!$B$12,0,Описание!$B$12,1))</f>
        <v/>
      </c>
      <c r="G439" s="15">
        <f>SQRT(Описание!$B$13*G438^2+(1-Описание!$B$13)*D438^2)</f>
        <v/>
      </c>
      <c r="H439" s="17">
        <f>Описание!$B$9*F439*Описание!$B$7</f>
        <v/>
      </c>
      <c r="I439" s="17">
        <f>Описание!$B$9*G439*Описание!$B$7</f>
        <v/>
      </c>
    </row>
    <row r="440">
      <c r="A440" s="13" t="n">
        <v>39344</v>
      </c>
      <c r="B440" s="14" t="n">
        <v>1.3975</v>
      </c>
      <c r="C440" t="inlineStr">
        <is>
          <t>До</t>
        </is>
      </c>
      <c r="D440" s="15">
        <f>B440/B439-1</f>
        <v/>
      </c>
      <c r="E440" s="16">
        <f>LN(B440/B439)</f>
        <v/>
      </c>
      <c r="F440" s="15">
        <f>_xlfn.STDEV.S(OFFSET(D440,-Описание!$B$12,0,Описание!$B$12,1))</f>
        <v/>
      </c>
      <c r="G440" s="15">
        <f>SQRT(Описание!$B$13*G439^2+(1-Описание!$B$13)*D439^2)</f>
        <v/>
      </c>
      <c r="H440" s="17">
        <f>Описание!$B$9*F440*Описание!$B$7</f>
        <v/>
      </c>
      <c r="I440" s="17">
        <f>Описание!$B$9*G440*Описание!$B$7</f>
        <v/>
      </c>
    </row>
    <row r="441">
      <c r="A441" s="13" t="n">
        <v>39345</v>
      </c>
      <c r="B441" s="14" t="n">
        <v>1.403</v>
      </c>
      <c r="C441" t="inlineStr">
        <is>
          <t>До</t>
        </is>
      </c>
      <c r="D441" s="15">
        <f>B441/B440-1</f>
        <v/>
      </c>
      <c r="E441" s="16">
        <f>LN(B441/B440)</f>
        <v/>
      </c>
      <c r="F441" s="15">
        <f>_xlfn.STDEV.S(OFFSET(D441,-Описание!$B$12,0,Описание!$B$12,1))</f>
        <v/>
      </c>
      <c r="G441" s="15">
        <f>SQRT(Описание!$B$13*G440^2+(1-Описание!$B$13)*D440^2)</f>
        <v/>
      </c>
      <c r="H441" s="17">
        <f>Описание!$B$9*F441*Описание!$B$7</f>
        <v/>
      </c>
      <c r="I441" s="17">
        <f>Описание!$B$9*G441*Описание!$B$7</f>
        <v/>
      </c>
    </row>
    <row r="442">
      <c r="A442" s="13" t="n">
        <v>39346</v>
      </c>
      <c r="B442" s="14" t="n">
        <v>1.4049</v>
      </c>
      <c r="C442" t="inlineStr">
        <is>
          <t>До</t>
        </is>
      </c>
      <c r="D442" s="15">
        <f>B442/B441-1</f>
        <v/>
      </c>
      <c r="E442" s="16">
        <f>LN(B442/B441)</f>
        <v/>
      </c>
      <c r="F442" s="15">
        <f>_xlfn.STDEV.S(OFFSET(D442,-Описание!$B$12,0,Описание!$B$12,1))</f>
        <v/>
      </c>
      <c r="G442" s="15">
        <f>SQRT(Описание!$B$13*G441^2+(1-Описание!$B$13)*D441^2)</f>
        <v/>
      </c>
      <c r="H442" s="17">
        <f>Описание!$B$9*F442*Описание!$B$7</f>
        <v/>
      </c>
      <c r="I442" s="17">
        <f>Описание!$B$9*G442*Описание!$B$7</f>
        <v/>
      </c>
    </row>
    <row r="443">
      <c r="A443" s="13" t="n">
        <v>39349</v>
      </c>
      <c r="B443" s="14" t="n">
        <v>1.4113</v>
      </c>
      <c r="C443" t="inlineStr">
        <is>
          <t>До</t>
        </is>
      </c>
      <c r="D443" s="15">
        <f>B443/B442-1</f>
        <v/>
      </c>
      <c r="E443" s="16">
        <f>LN(B443/B442)</f>
        <v/>
      </c>
      <c r="F443" s="15">
        <f>_xlfn.STDEV.S(OFFSET(D443,-Описание!$B$12,0,Описание!$B$12,1))</f>
        <v/>
      </c>
      <c r="G443" s="15">
        <f>SQRT(Описание!$B$13*G442^2+(1-Описание!$B$13)*D442^2)</f>
        <v/>
      </c>
      <c r="H443" s="17">
        <f>Описание!$B$9*F443*Описание!$B$7</f>
        <v/>
      </c>
      <c r="I443" s="17">
        <f>Описание!$B$9*G443*Описание!$B$7</f>
        <v/>
      </c>
    </row>
    <row r="444">
      <c r="A444" s="13" t="n">
        <v>39350</v>
      </c>
      <c r="B444" s="14" t="n">
        <v>1.4106</v>
      </c>
      <c r="C444" t="inlineStr">
        <is>
          <t>До</t>
        </is>
      </c>
      <c r="D444" s="15">
        <f>B444/B443-1</f>
        <v/>
      </c>
      <c r="E444" s="16">
        <f>LN(B444/B443)</f>
        <v/>
      </c>
      <c r="F444" s="15">
        <f>_xlfn.STDEV.S(OFFSET(D444,-Описание!$B$12,0,Описание!$B$12,1))</f>
        <v/>
      </c>
      <c r="G444" s="15">
        <f>SQRT(Описание!$B$13*G443^2+(1-Описание!$B$13)*D443^2)</f>
        <v/>
      </c>
      <c r="H444" s="17">
        <f>Описание!$B$9*F444*Описание!$B$7</f>
        <v/>
      </c>
      <c r="I444" s="17">
        <f>Описание!$B$9*G444*Описание!$B$7</f>
        <v/>
      </c>
    </row>
    <row r="445">
      <c r="A445" s="13" t="n">
        <v>39351</v>
      </c>
      <c r="B445" s="14" t="n">
        <v>1.4127</v>
      </c>
      <c r="C445" t="inlineStr">
        <is>
          <t>До</t>
        </is>
      </c>
      <c r="D445" s="15">
        <f>B445/B444-1</f>
        <v/>
      </c>
      <c r="E445" s="16">
        <f>LN(B445/B444)</f>
        <v/>
      </c>
      <c r="F445" s="15">
        <f>_xlfn.STDEV.S(OFFSET(D445,-Описание!$B$12,0,Описание!$B$12,1))</f>
        <v/>
      </c>
      <c r="G445" s="15">
        <f>SQRT(Описание!$B$13*G444^2+(1-Описание!$B$13)*D444^2)</f>
        <v/>
      </c>
      <c r="H445" s="17">
        <f>Описание!$B$9*F445*Описание!$B$7</f>
        <v/>
      </c>
      <c r="I445" s="17">
        <f>Описание!$B$9*G445*Описание!$B$7</f>
        <v/>
      </c>
    </row>
    <row r="446">
      <c r="A446" s="13" t="n">
        <v>39352</v>
      </c>
      <c r="B446" s="14" t="n">
        <v>1.418</v>
      </c>
      <c r="C446" t="inlineStr">
        <is>
          <t>До</t>
        </is>
      </c>
      <c r="D446" s="15">
        <f>B446/B445-1</f>
        <v/>
      </c>
      <c r="E446" s="16">
        <f>LN(B446/B445)</f>
        <v/>
      </c>
      <c r="F446" s="15">
        <f>_xlfn.STDEV.S(OFFSET(D446,-Описание!$B$12,0,Описание!$B$12,1))</f>
        <v/>
      </c>
      <c r="G446" s="15">
        <f>SQRT(Описание!$B$13*G445^2+(1-Описание!$B$13)*D445^2)</f>
        <v/>
      </c>
      <c r="H446" s="17">
        <f>Описание!$B$9*F446*Описание!$B$7</f>
        <v/>
      </c>
      <c r="I446" s="17">
        <f>Описание!$B$9*G446*Описание!$B$7</f>
        <v/>
      </c>
    </row>
    <row r="447">
      <c r="A447" s="13" t="n">
        <v>39353</v>
      </c>
      <c r="B447" s="14" t="n">
        <v>1.4179</v>
      </c>
      <c r="C447" t="inlineStr">
        <is>
          <t>До</t>
        </is>
      </c>
      <c r="D447" s="15">
        <f>B447/B446-1</f>
        <v/>
      </c>
      <c r="E447" s="16">
        <f>LN(B447/B446)</f>
        <v/>
      </c>
      <c r="F447" s="15">
        <f>_xlfn.STDEV.S(OFFSET(D447,-Описание!$B$12,0,Описание!$B$12,1))</f>
        <v/>
      </c>
      <c r="G447" s="15">
        <f>SQRT(Описание!$B$13*G446^2+(1-Описание!$B$13)*D446^2)</f>
        <v/>
      </c>
      <c r="H447" s="17">
        <f>Описание!$B$9*F447*Описание!$B$7</f>
        <v/>
      </c>
      <c r="I447" s="17">
        <f>Описание!$B$9*G447*Описание!$B$7</f>
        <v/>
      </c>
    </row>
    <row r="448">
      <c r="A448" s="13" t="n">
        <v>39356</v>
      </c>
      <c r="B448" s="14" t="n">
        <v>1.4232</v>
      </c>
      <c r="C448" t="inlineStr">
        <is>
          <t>До</t>
        </is>
      </c>
      <c r="D448" s="15">
        <f>B448/B447-1</f>
        <v/>
      </c>
      <c r="E448" s="16">
        <f>LN(B448/B447)</f>
        <v/>
      </c>
      <c r="F448" s="15">
        <f>_xlfn.STDEV.S(OFFSET(D448,-Описание!$B$12,0,Описание!$B$12,1))</f>
        <v/>
      </c>
      <c r="G448" s="15">
        <f>SQRT(Описание!$B$13*G447^2+(1-Описание!$B$13)*D447^2)</f>
        <v/>
      </c>
      <c r="H448" s="17">
        <f>Описание!$B$9*F448*Описание!$B$7</f>
        <v/>
      </c>
      <c r="I448" s="17">
        <f>Описание!$B$9*G448*Описание!$B$7</f>
        <v/>
      </c>
    </row>
    <row r="449">
      <c r="A449" s="13" t="n">
        <v>39357</v>
      </c>
      <c r="B449" s="14" t="n">
        <v>1.4165</v>
      </c>
      <c r="C449" t="inlineStr">
        <is>
          <t>До</t>
        </is>
      </c>
      <c r="D449" s="15">
        <f>B449/B448-1</f>
        <v/>
      </c>
      <c r="E449" s="16">
        <f>LN(B449/B448)</f>
        <v/>
      </c>
      <c r="F449" s="15">
        <f>_xlfn.STDEV.S(OFFSET(D449,-Описание!$B$12,0,Описание!$B$12,1))</f>
        <v/>
      </c>
      <c r="G449" s="15">
        <f>SQRT(Описание!$B$13*G448^2+(1-Описание!$B$13)*D448^2)</f>
        <v/>
      </c>
      <c r="H449" s="17">
        <f>Описание!$B$9*F449*Описание!$B$7</f>
        <v/>
      </c>
      <c r="I449" s="17">
        <f>Описание!$B$9*G449*Описание!$B$7</f>
        <v/>
      </c>
    </row>
    <row r="450">
      <c r="A450" s="13" t="n">
        <v>39358</v>
      </c>
      <c r="B450" s="14" t="n">
        <v>1.4195</v>
      </c>
      <c r="C450" t="inlineStr">
        <is>
          <t>До</t>
        </is>
      </c>
      <c r="D450" s="15">
        <f>B450/B449-1</f>
        <v/>
      </c>
      <c r="E450" s="16">
        <f>LN(B450/B449)</f>
        <v/>
      </c>
      <c r="F450" s="15">
        <f>_xlfn.STDEV.S(OFFSET(D450,-Описание!$B$12,0,Описание!$B$12,1))</f>
        <v/>
      </c>
      <c r="G450" s="15">
        <f>SQRT(Описание!$B$13*G449^2+(1-Описание!$B$13)*D449^2)</f>
        <v/>
      </c>
      <c r="H450" s="17">
        <f>Описание!$B$9*F450*Описание!$B$7</f>
        <v/>
      </c>
      <c r="I450" s="17">
        <f>Описание!$B$9*G450*Описание!$B$7</f>
        <v/>
      </c>
    </row>
    <row r="451">
      <c r="A451" s="13" t="n">
        <v>39359</v>
      </c>
      <c r="B451" s="14" t="n">
        <v>1.4109</v>
      </c>
      <c r="C451" t="inlineStr">
        <is>
          <t>До</t>
        </is>
      </c>
      <c r="D451" s="15">
        <f>B451/B450-1</f>
        <v/>
      </c>
      <c r="E451" s="16">
        <f>LN(B451/B450)</f>
        <v/>
      </c>
      <c r="F451" s="15">
        <f>_xlfn.STDEV.S(OFFSET(D451,-Описание!$B$12,0,Описание!$B$12,1))</f>
        <v/>
      </c>
      <c r="G451" s="15">
        <f>SQRT(Описание!$B$13*G450^2+(1-Описание!$B$13)*D450^2)</f>
        <v/>
      </c>
      <c r="H451" s="17">
        <f>Описание!$B$9*F451*Описание!$B$7</f>
        <v/>
      </c>
      <c r="I451" s="17">
        <f>Описание!$B$9*G451*Описание!$B$7</f>
        <v/>
      </c>
    </row>
    <row r="452">
      <c r="A452" s="13" t="n">
        <v>39360</v>
      </c>
      <c r="B452" s="14" t="n">
        <v>1.4136</v>
      </c>
      <c r="C452" t="inlineStr">
        <is>
          <t>До</t>
        </is>
      </c>
      <c r="D452" s="15">
        <f>B452/B451-1</f>
        <v/>
      </c>
      <c r="E452" s="16">
        <f>LN(B452/B451)</f>
        <v/>
      </c>
      <c r="F452" s="15">
        <f>_xlfn.STDEV.S(OFFSET(D452,-Описание!$B$12,0,Описание!$B$12,1))</f>
        <v/>
      </c>
      <c r="G452" s="15">
        <f>SQRT(Описание!$B$13*G451^2+(1-Описание!$B$13)*D451^2)</f>
        <v/>
      </c>
      <c r="H452" s="17">
        <f>Описание!$B$9*F452*Описание!$B$7</f>
        <v/>
      </c>
      <c r="I452" s="17">
        <f>Описание!$B$9*G452*Описание!$B$7</f>
        <v/>
      </c>
    </row>
    <row r="453">
      <c r="A453" s="13" t="n">
        <v>39363</v>
      </c>
      <c r="B453" s="14" t="n">
        <v>1.4089</v>
      </c>
      <c r="C453" t="inlineStr">
        <is>
          <t>До</t>
        </is>
      </c>
      <c r="D453" s="15">
        <f>B453/B452-1</f>
        <v/>
      </c>
      <c r="E453" s="16">
        <f>LN(B453/B452)</f>
        <v/>
      </c>
      <c r="F453" s="15">
        <f>_xlfn.STDEV.S(OFFSET(D453,-Описание!$B$12,0,Описание!$B$12,1))</f>
        <v/>
      </c>
      <c r="G453" s="15">
        <f>SQRT(Описание!$B$13*G452^2+(1-Описание!$B$13)*D452^2)</f>
        <v/>
      </c>
      <c r="H453" s="17">
        <f>Описание!$B$9*F453*Описание!$B$7</f>
        <v/>
      </c>
      <c r="I453" s="17">
        <f>Описание!$B$9*G453*Описание!$B$7</f>
        <v/>
      </c>
    </row>
    <row r="454">
      <c r="A454" s="13" t="n">
        <v>39364</v>
      </c>
      <c r="B454" s="14" t="n">
        <v>1.4037</v>
      </c>
      <c r="C454" t="inlineStr">
        <is>
          <t>До</t>
        </is>
      </c>
      <c r="D454" s="15">
        <f>B454/B453-1</f>
        <v/>
      </c>
      <c r="E454" s="16">
        <f>LN(B454/B453)</f>
        <v/>
      </c>
      <c r="F454" s="15">
        <f>_xlfn.STDEV.S(OFFSET(D454,-Описание!$B$12,0,Описание!$B$12,1))</f>
        <v/>
      </c>
      <c r="G454" s="15">
        <f>SQRT(Описание!$B$13*G453^2+(1-Описание!$B$13)*D453^2)</f>
        <v/>
      </c>
      <c r="H454" s="17">
        <f>Описание!$B$9*F454*Описание!$B$7</f>
        <v/>
      </c>
      <c r="I454" s="17">
        <f>Описание!$B$9*G454*Описание!$B$7</f>
        <v/>
      </c>
    </row>
    <row r="455">
      <c r="A455" s="13" t="n">
        <v>39365</v>
      </c>
      <c r="B455" s="14" t="n">
        <v>1.4146</v>
      </c>
      <c r="C455" t="inlineStr">
        <is>
          <t>До</t>
        </is>
      </c>
      <c r="D455" s="15">
        <f>B455/B454-1</f>
        <v/>
      </c>
      <c r="E455" s="16">
        <f>LN(B455/B454)</f>
        <v/>
      </c>
      <c r="F455" s="15">
        <f>_xlfn.STDEV.S(OFFSET(D455,-Описание!$B$12,0,Описание!$B$12,1))</f>
        <v/>
      </c>
      <c r="G455" s="15">
        <f>SQRT(Описание!$B$13*G454^2+(1-Описание!$B$13)*D454^2)</f>
        <v/>
      </c>
      <c r="H455" s="17">
        <f>Описание!$B$9*F455*Описание!$B$7</f>
        <v/>
      </c>
      <c r="I455" s="17">
        <f>Описание!$B$9*G455*Описание!$B$7</f>
        <v/>
      </c>
    </row>
    <row r="456">
      <c r="A456" s="13" t="n">
        <v>39366</v>
      </c>
      <c r="B456" s="14" t="n">
        <v>1.4199</v>
      </c>
      <c r="C456" t="inlineStr">
        <is>
          <t>До</t>
        </is>
      </c>
      <c r="D456" s="15">
        <f>B456/B455-1</f>
        <v/>
      </c>
      <c r="E456" s="16">
        <f>LN(B456/B455)</f>
        <v/>
      </c>
      <c r="F456" s="15">
        <f>_xlfn.STDEV.S(OFFSET(D456,-Описание!$B$12,0,Описание!$B$12,1))</f>
        <v/>
      </c>
      <c r="G456" s="15">
        <f>SQRT(Описание!$B$13*G455^2+(1-Описание!$B$13)*D455^2)</f>
        <v/>
      </c>
      <c r="H456" s="17">
        <f>Описание!$B$9*F456*Описание!$B$7</f>
        <v/>
      </c>
      <c r="I456" s="17">
        <f>Описание!$B$9*G456*Описание!$B$7</f>
        <v/>
      </c>
    </row>
    <row r="457">
      <c r="A457" s="13" t="n">
        <v>39367</v>
      </c>
      <c r="B457" s="14" t="n">
        <v>1.4173</v>
      </c>
      <c r="C457" t="inlineStr">
        <is>
          <t>До</t>
        </is>
      </c>
      <c r="D457" s="15">
        <f>B457/B456-1</f>
        <v/>
      </c>
      <c r="E457" s="16">
        <f>LN(B457/B456)</f>
        <v/>
      </c>
      <c r="F457" s="15">
        <f>_xlfn.STDEV.S(OFFSET(D457,-Описание!$B$12,0,Описание!$B$12,1))</f>
        <v/>
      </c>
      <c r="G457" s="15">
        <f>SQRT(Описание!$B$13*G456^2+(1-Описание!$B$13)*D456^2)</f>
        <v/>
      </c>
      <c r="H457" s="17">
        <f>Описание!$B$9*F457*Описание!$B$7</f>
        <v/>
      </c>
      <c r="I457" s="17">
        <f>Описание!$B$9*G457*Описание!$B$7</f>
        <v/>
      </c>
    </row>
    <row r="458">
      <c r="A458" s="13" t="n">
        <v>39370</v>
      </c>
      <c r="B458" s="14" t="n">
        <v>1.4226</v>
      </c>
      <c r="C458" t="inlineStr">
        <is>
          <t>До</t>
        </is>
      </c>
      <c r="D458" s="15">
        <f>B458/B457-1</f>
        <v/>
      </c>
      <c r="E458" s="16">
        <f>LN(B458/B457)</f>
        <v/>
      </c>
      <c r="F458" s="15">
        <f>_xlfn.STDEV.S(OFFSET(D458,-Описание!$B$12,0,Описание!$B$12,1))</f>
        <v/>
      </c>
      <c r="G458" s="15">
        <f>SQRT(Описание!$B$13*G457^2+(1-Описание!$B$13)*D457^2)</f>
        <v/>
      </c>
      <c r="H458" s="17">
        <f>Описание!$B$9*F458*Описание!$B$7</f>
        <v/>
      </c>
      <c r="I458" s="17">
        <f>Описание!$B$9*G458*Описание!$B$7</f>
        <v/>
      </c>
    </row>
    <row r="459">
      <c r="A459" s="13" t="n">
        <v>39371</v>
      </c>
      <c r="B459" s="14" t="n">
        <v>1.415</v>
      </c>
      <c r="C459" t="inlineStr">
        <is>
          <t>До</t>
        </is>
      </c>
      <c r="D459" s="15">
        <f>B459/B458-1</f>
        <v/>
      </c>
      <c r="E459" s="16">
        <f>LN(B459/B458)</f>
        <v/>
      </c>
      <c r="F459" s="15">
        <f>_xlfn.STDEV.S(OFFSET(D459,-Описание!$B$12,0,Описание!$B$12,1))</f>
        <v/>
      </c>
      <c r="G459" s="15">
        <f>SQRT(Описание!$B$13*G458^2+(1-Описание!$B$13)*D458^2)</f>
        <v/>
      </c>
      <c r="H459" s="17">
        <f>Описание!$B$9*F459*Описание!$B$7</f>
        <v/>
      </c>
      <c r="I459" s="17">
        <f>Описание!$B$9*G459*Описание!$B$7</f>
        <v/>
      </c>
    </row>
    <row r="460">
      <c r="A460" s="13" t="n">
        <v>39372</v>
      </c>
      <c r="B460" s="14" t="n">
        <v>1.42</v>
      </c>
      <c r="C460" t="inlineStr">
        <is>
          <t>До</t>
        </is>
      </c>
      <c r="D460" s="15">
        <f>B460/B459-1</f>
        <v/>
      </c>
      <c r="E460" s="16">
        <f>LN(B460/B459)</f>
        <v/>
      </c>
      <c r="F460" s="15">
        <f>_xlfn.STDEV.S(OFFSET(D460,-Описание!$B$12,0,Описание!$B$12,1))</f>
        <v/>
      </c>
      <c r="G460" s="15">
        <f>SQRT(Описание!$B$13*G459^2+(1-Описание!$B$13)*D459^2)</f>
        <v/>
      </c>
      <c r="H460" s="17">
        <f>Описание!$B$9*F460*Описание!$B$7</f>
        <v/>
      </c>
      <c r="I460" s="17">
        <f>Описание!$B$9*G460*Описание!$B$7</f>
        <v/>
      </c>
    </row>
    <row r="461">
      <c r="A461" s="13" t="n">
        <v>39373</v>
      </c>
      <c r="B461" s="14" t="n">
        <v>1.4299</v>
      </c>
      <c r="C461" t="inlineStr">
        <is>
          <t>До</t>
        </is>
      </c>
      <c r="D461" s="15">
        <f>B461/B460-1</f>
        <v/>
      </c>
      <c r="E461" s="16">
        <f>LN(B461/B460)</f>
        <v/>
      </c>
      <c r="F461" s="15">
        <f>_xlfn.STDEV.S(OFFSET(D461,-Описание!$B$12,0,Описание!$B$12,1))</f>
        <v/>
      </c>
      <c r="G461" s="15">
        <f>SQRT(Описание!$B$13*G460^2+(1-Описание!$B$13)*D460^2)</f>
        <v/>
      </c>
      <c r="H461" s="17">
        <f>Описание!$B$9*F461*Описание!$B$7</f>
        <v/>
      </c>
      <c r="I461" s="17">
        <f>Описание!$B$9*G461*Описание!$B$7</f>
        <v/>
      </c>
    </row>
    <row r="462">
      <c r="A462" s="13" t="n">
        <v>39374</v>
      </c>
      <c r="B462" s="14" t="n">
        <v>1.4288</v>
      </c>
      <c r="C462" t="inlineStr">
        <is>
          <t>До</t>
        </is>
      </c>
      <c r="D462" s="15">
        <f>B462/B461-1</f>
        <v/>
      </c>
      <c r="E462" s="16">
        <f>LN(B462/B461)</f>
        <v/>
      </c>
      <c r="F462" s="15">
        <f>_xlfn.STDEV.S(OFFSET(D462,-Описание!$B$12,0,Описание!$B$12,1))</f>
        <v/>
      </c>
      <c r="G462" s="15">
        <f>SQRT(Описание!$B$13*G461^2+(1-Описание!$B$13)*D461^2)</f>
        <v/>
      </c>
      <c r="H462" s="17">
        <f>Описание!$B$9*F462*Описание!$B$7</f>
        <v/>
      </c>
      <c r="I462" s="17">
        <f>Описание!$B$9*G462*Описание!$B$7</f>
        <v/>
      </c>
    </row>
    <row r="463">
      <c r="A463" s="13" t="n">
        <v>39377</v>
      </c>
      <c r="B463" s="14" t="n">
        <v>1.4166</v>
      </c>
      <c r="C463" t="inlineStr">
        <is>
          <t>До</t>
        </is>
      </c>
      <c r="D463" s="15">
        <f>B463/B462-1</f>
        <v/>
      </c>
      <c r="E463" s="16">
        <f>LN(B463/B462)</f>
        <v/>
      </c>
      <c r="F463" s="15">
        <f>_xlfn.STDEV.S(OFFSET(D463,-Описание!$B$12,0,Описание!$B$12,1))</f>
        <v/>
      </c>
      <c r="G463" s="15">
        <f>SQRT(Описание!$B$13*G462^2+(1-Описание!$B$13)*D462^2)</f>
        <v/>
      </c>
      <c r="H463" s="17">
        <f>Описание!$B$9*F463*Описание!$B$7</f>
        <v/>
      </c>
      <c r="I463" s="17">
        <f>Описание!$B$9*G463*Описание!$B$7</f>
        <v/>
      </c>
    </row>
    <row r="464">
      <c r="A464" s="13" t="n">
        <v>39378</v>
      </c>
      <c r="B464" s="14" t="n">
        <v>1.4254</v>
      </c>
      <c r="C464" t="inlineStr">
        <is>
          <t>До</t>
        </is>
      </c>
      <c r="D464" s="15">
        <f>B464/B463-1</f>
        <v/>
      </c>
      <c r="E464" s="16">
        <f>LN(B464/B463)</f>
        <v/>
      </c>
      <c r="F464" s="15">
        <f>_xlfn.STDEV.S(OFFSET(D464,-Описание!$B$12,0,Описание!$B$12,1))</f>
        <v/>
      </c>
      <c r="G464" s="15">
        <f>SQRT(Описание!$B$13*G463^2+(1-Описание!$B$13)*D463^2)</f>
        <v/>
      </c>
      <c r="H464" s="17">
        <f>Описание!$B$9*F464*Описание!$B$7</f>
        <v/>
      </c>
      <c r="I464" s="17">
        <f>Описание!$B$9*G464*Описание!$B$7</f>
        <v/>
      </c>
    </row>
    <row r="465">
      <c r="A465" s="13" t="n">
        <v>39379</v>
      </c>
      <c r="B465" s="14" t="n">
        <v>1.423</v>
      </c>
      <c r="C465" t="inlineStr">
        <is>
          <t>До</t>
        </is>
      </c>
      <c r="D465" s="15">
        <f>B465/B464-1</f>
        <v/>
      </c>
      <c r="E465" s="16">
        <f>LN(B465/B464)</f>
        <v/>
      </c>
      <c r="F465" s="15">
        <f>_xlfn.STDEV.S(OFFSET(D465,-Описание!$B$12,0,Описание!$B$12,1))</f>
        <v/>
      </c>
      <c r="G465" s="15">
        <f>SQRT(Описание!$B$13*G464^2+(1-Описание!$B$13)*D464^2)</f>
        <v/>
      </c>
      <c r="H465" s="17">
        <f>Описание!$B$9*F465*Описание!$B$7</f>
        <v/>
      </c>
      <c r="I465" s="17">
        <f>Описание!$B$9*G465*Описание!$B$7</f>
        <v/>
      </c>
    </row>
    <row r="466">
      <c r="A466" s="13" t="n">
        <v>39380</v>
      </c>
      <c r="B466" s="14" t="n">
        <v>1.4309</v>
      </c>
      <c r="C466" t="inlineStr">
        <is>
          <t>До</t>
        </is>
      </c>
      <c r="D466" s="15">
        <f>B466/B465-1</f>
        <v/>
      </c>
      <c r="E466" s="16">
        <f>LN(B466/B465)</f>
        <v/>
      </c>
      <c r="F466" s="15">
        <f>_xlfn.STDEV.S(OFFSET(D466,-Описание!$B$12,0,Описание!$B$12,1))</f>
        <v/>
      </c>
      <c r="G466" s="15">
        <f>SQRT(Описание!$B$13*G465^2+(1-Описание!$B$13)*D465^2)</f>
        <v/>
      </c>
      <c r="H466" s="17">
        <f>Описание!$B$9*F466*Описание!$B$7</f>
        <v/>
      </c>
      <c r="I466" s="17">
        <f>Описание!$B$9*G466*Описание!$B$7</f>
        <v/>
      </c>
    </row>
    <row r="467">
      <c r="A467" s="13" t="n">
        <v>39381</v>
      </c>
      <c r="B467" s="14" t="n">
        <v>1.4384</v>
      </c>
      <c r="C467" t="inlineStr">
        <is>
          <t>До</t>
        </is>
      </c>
      <c r="D467" s="15">
        <f>B467/B466-1</f>
        <v/>
      </c>
      <c r="E467" s="16">
        <f>LN(B467/B466)</f>
        <v/>
      </c>
      <c r="F467" s="15">
        <f>_xlfn.STDEV.S(OFFSET(D467,-Описание!$B$12,0,Описание!$B$12,1))</f>
        <v/>
      </c>
      <c r="G467" s="15">
        <f>SQRT(Описание!$B$13*G466^2+(1-Описание!$B$13)*D466^2)</f>
        <v/>
      </c>
      <c r="H467" s="17">
        <f>Описание!$B$9*F467*Описание!$B$7</f>
        <v/>
      </c>
      <c r="I467" s="17">
        <f>Описание!$B$9*G467*Описание!$B$7</f>
        <v/>
      </c>
    </row>
    <row r="468">
      <c r="A468" s="13" t="n">
        <v>39384</v>
      </c>
      <c r="B468" s="14" t="n">
        <v>1.4391</v>
      </c>
      <c r="C468" t="inlineStr">
        <is>
          <t>До</t>
        </is>
      </c>
      <c r="D468" s="15">
        <f>B468/B467-1</f>
        <v/>
      </c>
      <c r="E468" s="16">
        <f>LN(B468/B467)</f>
        <v/>
      </c>
      <c r="F468" s="15">
        <f>_xlfn.STDEV.S(OFFSET(D468,-Описание!$B$12,0,Описание!$B$12,1))</f>
        <v/>
      </c>
      <c r="G468" s="15">
        <f>SQRT(Описание!$B$13*G467^2+(1-Описание!$B$13)*D467^2)</f>
        <v/>
      </c>
      <c r="H468" s="17">
        <f>Описание!$B$9*F468*Описание!$B$7</f>
        <v/>
      </c>
      <c r="I468" s="17">
        <f>Описание!$B$9*G468*Описание!$B$7</f>
        <v/>
      </c>
    </row>
    <row r="469">
      <c r="A469" s="13" t="n">
        <v>39385</v>
      </c>
      <c r="B469" s="14" t="n">
        <v>1.4407</v>
      </c>
      <c r="C469" t="inlineStr">
        <is>
          <t>До</t>
        </is>
      </c>
      <c r="D469" s="15">
        <f>B469/B468-1</f>
        <v/>
      </c>
      <c r="E469" s="16">
        <f>LN(B469/B468)</f>
        <v/>
      </c>
      <c r="F469" s="15">
        <f>_xlfn.STDEV.S(OFFSET(D469,-Описание!$B$12,0,Описание!$B$12,1))</f>
        <v/>
      </c>
      <c r="G469" s="15">
        <f>SQRT(Описание!$B$13*G468^2+(1-Описание!$B$13)*D468^2)</f>
        <v/>
      </c>
      <c r="H469" s="17">
        <f>Описание!$B$9*F469*Описание!$B$7</f>
        <v/>
      </c>
      <c r="I469" s="17">
        <f>Описание!$B$9*G469*Описание!$B$7</f>
        <v/>
      </c>
    </row>
    <row r="470">
      <c r="A470" s="13" t="n">
        <v>39386</v>
      </c>
      <c r="B470" s="14" t="n">
        <v>1.4447</v>
      </c>
      <c r="C470" t="inlineStr">
        <is>
          <t>До</t>
        </is>
      </c>
      <c r="D470" s="15">
        <f>B470/B469-1</f>
        <v/>
      </c>
      <c r="E470" s="16">
        <f>LN(B470/B469)</f>
        <v/>
      </c>
      <c r="F470" s="15">
        <f>_xlfn.STDEV.S(OFFSET(D470,-Описание!$B$12,0,Описание!$B$12,1))</f>
        <v/>
      </c>
      <c r="G470" s="15">
        <f>SQRT(Описание!$B$13*G469^2+(1-Описание!$B$13)*D469^2)</f>
        <v/>
      </c>
      <c r="H470" s="17">
        <f>Описание!$B$9*F470*Описание!$B$7</f>
        <v/>
      </c>
      <c r="I470" s="17">
        <f>Описание!$B$9*G470*Описание!$B$7</f>
        <v/>
      </c>
    </row>
    <row r="471">
      <c r="A471" s="13" t="n">
        <v>39387</v>
      </c>
      <c r="B471" s="14" t="n">
        <v>1.4423</v>
      </c>
      <c r="C471" t="inlineStr">
        <is>
          <t>До</t>
        </is>
      </c>
      <c r="D471" s="15">
        <f>B471/B470-1</f>
        <v/>
      </c>
      <c r="E471" s="16">
        <f>LN(B471/B470)</f>
        <v/>
      </c>
      <c r="F471" s="15">
        <f>_xlfn.STDEV.S(OFFSET(D471,-Описание!$B$12,0,Описание!$B$12,1))</f>
        <v/>
      </c>
      <c r="G471" s="15">
        <f>SQRT(Описание!$B$13*G470^2+(1-Описание!$B$13)*D470^2)</f>
        <v/>
      </c>
      <c r="H471" s="17">
        <f>Описание!$B$9*F471*Описание!$B$7</f>
        <v/>
      </c>
      <c r="I471" s="17">
        <f>Описание!$B$9*G471*Описание!$B$7</f>
        <v/>
      </c>
    </row>
    <row r="472">
      <c r="A472" s="13" t="n">
        <v>39388</v>
      </c>
      <c r="B472" s="14" t="n">
        <v>1.4479</v>
      </c>
      <c r="C472" t="inlineStr">
        <is>
          <t>До</t>
        </is>
      </c>
      <c r="D472" s="15">
        <f>B472/B471-1</f>
        <v/>
      </c>
      <c r="E472" s="16">
        <f>LN(B472/B471)</f>
        <v/>
      </c>
      <c r="F472" s="15">
        <f>_xlfn.STDEV.S(OFFSET(D472,-Описание!$B$12,0,Описание!$B$12,1))</f>
        <v/>
      </c>
      <c r="G472" s="15">
        <f>SQRT(Описание!$B$13*G471^2+(1-Описание!$B$13)*D471^2)</f>
        <v/>
      </c>
      <c r="H472" s="17">
        <f>Описание!$B$9*F472*Описание!$B$7</f>
        <v/>
      </c>
      <c r="I472" s="17">
        <f>Описание!$B$9*G472*Описание!$B$7</f>
        <v/>
      </c>
    </row>
    <row r="473">
      <c r="A473" s="13" t="n">
        <v>39391</v>
      </c>
      <c r="B473" s="14" t="n">
        <v>1.4488</v>
      </c>
      <c r="C473" t="inlineStr">
        <is>
          <t>До</t>
        </is>
      </c>
      <c r="D473" s="15">
        <f>B473/B472-1</f>
        <v/>
      </c>
      <c r="E473" s="16">
        <f>LN(B473/B472)</f>
        <v/>
      </c>
      <c r="F473" s="15">
        <f>_xlfn.STDEV.S(OFFSET(D473,-Описание!$B$12,0,Описание!$B$12,1))</f>
        <v/>
      </c>
      <c r="G473" s="15">
        <f>SQRT(Описание!$B$13*G472^2+(1-Описание!$B$13)*D472^2)</f>
        <v/>
      </c>
      <c r="H473" s="17">
        <f>Описание!$B$9*F473*Описание!$B$7</f>
        <v/>
      </c>
      <c r="I473" s="17">
        <f>Описание!$B$9*G473*Описание!$B$7</f>
        <v/>
      </c>
    </row>
    <row r="474">
      <c r="A474" s="13" t="n">
        <v>39392</v>
      </c>
      <c r="B474" s="14" t="n">
        <v>1.4547</v>
      </c>
      <c r="C474" t="inlineStr">
        <is>
          <t>До</t>
        </is>
      </c>
      <c r="D474" s="15">
        <f>B474/B473-1</f>
        <v/>
      </c>
      <c r="E474" s="16">
        <f>LN(B474/B473)</f>
        <v/>
      </c>
      <c r="F474" s="15">
        <f>_xlfn.STDEV.S(OFFSET(D474,-Описание!$B$12,0,Описание!$B$12,1))</f>
        <v/>
      </c>
      <c r="G474" s="15">
        <f>SQRT(Описание!$B$13*G473^2+(1-Описание!$B$13)*D473^2)</f>
        <v/>
      </c>
      <c r="H474" s="17">
        <f>Описание!$B$9*F474*Описание!$B$7</f>
        <v/>
      </c>
      <c r="I474" s="17">
        <f>Описание!$B$9*G474*Описание!$B$7</f>
        <v/>
      </c>
    </row>
    <row r="475">
      <c r="A475" s="13" t="n">
        <v>39393</v>
      </c>
      <c r="B475" s="14" t="n">
        <v>1.4722</v>
      </c>
      <c r="C475" t="inlineStr">
        <is>
          <t>До</t>
        </is>
      </c>
      <c r="D475" s="15">
        <f>B475/B474-1</f>
        <v/>
      </c>
      <c r="E475" s="16">
        <f>LN(B475/B474)</f>
        <v/>
      </c>
      <c r="F475" s="15">
        <f>_xlfn.STDEV.S(OFFSET(D475,-Описание!$B$12,0,Описание!$B$12,1))</f>
        <v/>
      </c>
      <c r="G475" s="15">
        <f>SQRT(Описание!$B$13*G474^2+(1-Описание!$B$13)*D474^2)</f>
        <v/>
      </c>
      <c r="H475" s="17">
        <f>Описание!$B$9*F475*Описание!$B$7</f>
        <v/>
      </c>
      <c r="I475" s="17">
        <f>Описание!$B$9*G475*Описание!$B$7</f>
        <v/>
      </c>
    </row>
    <row r="476">
      <c r="A476" s="13" t="n">
        <v>39394</v>
      </c>
      <c r="B476" s="14" t="n">
        <v>1.4666</v>
      </c>
      <c r="C476" t="inlineStr">
        <is>
          <t>До</t>
        </is>
      </c>
      <c r="D476" s="15">
        <f>B476/B475-1</f>
        <v/>
      </c>
      <c r="E476" s="16">
        <f>LN(B476/B475)</f>
        <v/>
      </c>
      <c r="F476" s="15">
        <f>_xlfn.STDEV.S(OFFSET(D476,-Описание!$B$12,0,Описание!$B$12,1))</f>
        <v/>
      </c>
      <c r="G476" s="15">
        <f>SQRT(Описание!$B$13*G475^2+(1-Описание!$B$13)*D475^2)</f>
        <v/>
      </c>
      <c r="H476" s="17">
        <f>Описание!$B$9*F476*Описание!$B$7</f>
        <v/>
      </c>
      <c r="I476" s="17">
        <f>Описание!$B$9*G476*Описание!$B$7</f>
        <v/>
      </c>
    </row>
    <row r="477">
      <c r="A477" s="13" t="n">
        <v>39395</v>
      </c>
      <c r="B477" s="14" t="n">
        <v>1.4683</v>
      </c>
      <c r="C477" t="inlineStr">
        <is>
          <t>До</t>
        </is>
      </c>
      <c r="D477" s="15">
        <f>B477/B476-1</f>
        <v/>
      </c>
      <c r="E477" s="16">
        <f>LN(B477/B476)</f>
        <v/>
      </c>
      <c r="F477" s="15">
        <f>_xlfn.STDEV.S(OFFSET(D477,-Описание!$B$12,0,Описание!$B$12,1))</f>
        <v/>
      </c>
      <c r="G477" s="15">
        <f>SQRT(Описание!$B$13*G476^2+(1-Описание!$B$13)*D476^2)</f>
        <v/>
      </c>
      <c r="H477" s="17">
        <f>Описание!$B$9*F477*Описание!$B$7</f>
        <v/>
      </c>
      <c r="I477" s="17">
        <f>Описание!$B$9*G477*Описание!$B$7</f>
        <v/>
      </c>
    </row>
    <row r="478">
      <c r="A478" s="13" t="n">
        <v>39398</v>
      </c>
      <c r="B478" s="14" t="n">
        <v>1.4579</v>
      </c>
      <c r="C478" t="inlineStr">
        <is>
          <t>До</t>
        </is>
      </c>
      <c r="D478" s="15">
        <f>B478/B477-1</f>
        <v/>
      </c>
      <c r="E478" s="16">
        <f>LN(B478/B477)</f>
        <v/>
      </c>
      <c r="F478" s="15">
        <f>_xlfn.STDEV.S(OFFSET(D478,-Описание!$B$12,0,Описание!$B$12,1))</f>
        <v/>
      </c>
      <c r="G478" s="15">
        <f>SQRT(Описание!$B$13*G477^2+(1-Описание!$B$13)*D477^2)</f>
        <v/>
      </c>
      <c r="H478" s="17">
        <f>Описание!$B$9*F478*Описание!$B$7</f>
        <v/>
      </c>
      <c r="I478" s="17">
        <f>Описание!$B$9*G478*Описание!$B$7</f>
        <v/>
      </c>
    </row>
    <row r="479">
      <c r="A479" s="13" t="n">
        <v>39399</v>
      </c>
      <c r="B479" s="14" t="n">
        <v>1.4607</v>
      </c>
      <c r="C479" t="inlineStr">
        <is>
          <t>До</t>
        </is>
      </c>
      <c r="D479" s="15">
        <f>B479/B478-1</f>
        <v/>
      </c>
      <c r="E479" s="16">
        <f>LN(B479/B478)</f>
        <v/>
      </c>
      <c r="F479" s="15">
        <f>_xlfn.STDEV.S(OFFSET(D479,-Описание!$B$12,0,Описание!$B$12,1))</f>
        <v/>
      </c>
      <c r="G479" s="15">
        <f>SQRT(Описание!$B$13*G478^2+(1-Описание!$B$13)*D478^2)</f>
        <v/>
      </c>
      <c r="H479" s="17">
        <f>Описание!$B$9*F479*Описание!$B$7</f>
        <v/>
      </c>
      <c r="I479" s="17">
        <f>Описание!$B$9*G479*Описание!$B$7</f>
        <v/>
      </c>
    </row>
    <row r="480">
      <c r="A480" s="13" t="n">
        <v>39400</v>
      </c>
      <c r="B480" s="14" t="n">
        <v>1.47</v>
      </c>
      <c r="C480" t="inlineStr">
        <is>
          <t>До</t>
        </is>
      </c>
      <c r="D480" s="15">
        <f>B480/B479-1</f>
        <v/>
      </c>
      <c r="E480" s="16">
        <f>LN(B480/B479)</f>
        <v/>
      </c>
      <c r="F480" s="15">
        <f>_xlfn.STDEV.S(OFFSET(D480,-Описание!$B$12,0,Описание!$B$12,1))</f>
        <v/>
      </c>
      <c r="G480" s="15">
        <f>SQRT(Описание!$B$13*G479^2+(1-Описание!$B$13)*D479^2)</f>
        <v/>
      </c>
      <c r="H480" s="17">
        <f>Описание!$B$9*F480*Описание!$B$7</f>
        <v/>
      </c>
      <c r="I480" s="17">
        <f>Описание!$B$9*G480*Описание!$B$7</f>
        <v/>
      </c>
    </row>
    <row r="481">
      <c r="A481" s="13" t="n">
        <v>39401</v>
      </c>
      <c r="B481" s="14" t="n">
        <v>1.4639</v>
      </c>
      <c r="C481" t="inlineStr">
        <is>
          <t>До</t>
        </is>
      </c>
      <c r="D481" s="15">
        <f>B481/B480-1</f>
        <v/>
      </c>
      <c r="E481" s="16">
        <f>LN(B481/B480)</f>
        <v/>
      </c>
      <c r="F481" s="15">
        <f>_xlfn.STDEV.S(OFFSET(D481,-Описание!$B$12,0,Описание!$B$12,1))</f>
        <v/>
      </c>
      <c r="G481" s="15">
        <f>SQRT(Описание!$B$13*G480^2+(1-Описание!$B$13)*D480^2)</f>
        <v/>
      </c>
      <c r="H481" s="17">
        <f>Описание!$B$9*F481*Описание!$B$7</f>
        <v/>
      </c>
      <c r="I481" s="17">
        <f>Описание!$B$9*G481*Описание!$B$7</f>
        <v/>
      </c>
    </row>
    <row r="482">
      <c r="A482" s="13" t="n">
        <v>39402</v>
      </c>
      <c r="B482" s="14" t="n">
        <v>1.4651</v>
      </c>
      <c r="C482" t="inlineStr">
        <is>
          <t>До</t>
        </is>
      </c>
      <c r="D482" s="15">
        <f>B482/B481-1</f>
        <v/>
      </c>
      <c r="E482" s="16">
        <f>LN(B482/B481)</f>
        <v/>
      </c>
      <c r="F482" s="15">
        <f>_xlfn.STDEV.S(OFFSET(D482,-Описание!$B$12,0,Описание!$B$12,1))</f>
        <v/>
      </c>
      <c r="G482" s="15">
        <f>SQRT(Описание!$B$13*G481^2+(1-Описание!$B$13)*D481^2)</f>
        <v/>
      </c>
      <c r="H482" s="17">
        <f>Описание!$B$9*F482*Описание!$B$7</f>
        <v/>
      </c>
      <c r="I482" s="17">
        <f>Описание!$B$9*G482*Описание!$B$7</f>
        <v/>
      </c>
    </row>
    <row r="483">
      <c r="A483" s="13" t="n">
        <v>39405</v>
      </c>
      <c r="B483" s="14" t="n">
        <v>1.4654</v>
      </c>
      <c r="C483" t="inlineStr">
        <is>
          <t>До</t>
        </is>
      </c>
      <c r="D483" s="15">
        <f>B483/B482-1</f>
        <v/>
      </c>
      <c r="E483" s="16">
        <f>LN(B483/B482)</f>
        <v/>
      </c>
      <c r="F483" s="15">
        <f>_xlfn.STDEV.S(OFFSET(D483,-Описание!$B$12,0,Описание!$B$12,1))</f>
        <v/>
      </c>
      <c r="G483" s="15">
        <f>SQRT(Описание!$B$13*G482^2+(1-Описание!$B$13)*D482^2)</f>
        <v/>
      </c>
      <c r="H483" s="17">
        <f>Описание!$B$9*F483*Описание!$B$7</f>
        <v/>
      </c>
      <c r="I483" s="17">
        <f>Описание!$B$9*G483*Описание!$B$7</f>
        <v/>
      </c>
    </row>
    <row r="484">
      <c r="A484" s="13" t="n">
        <v>39406</v>
      </c>
      <c r="B484" s="14" t="n">
        <v>1.4785</v>
      </c>
      <c r="C484" t="inlineStr">
        <is>
          <t>До</t>
        </is>
      </c>
      <c r="D484" s="15">
        <f>B484/B483-1</f>
        <v/>
      </c>
      <c r="E484" s="16">
        <f>LN(B484/B483)</f>
        <v/>
      </c>
      <c r="F484" s="15">
        <f>_xlfn.STDEV.S(OFFSET(D484,-Описание!$B$12,0,Описание!$B$12,1))</f>
        <v/>
      </c>
      <c r="G484" s="15">
        <f>SQRT(Описание!$B$13*G483^2+(1-Описание!$B$13)*D483^2)</f>
        <v/>
      </c>
      <c r="H484" s="17">
        <f>Описание!$B$9*F484*Описание!$B$7</f>
        <v/>
      </c>
      <c r="I484" s="17">
        <f>Описание!$B$9*G484*Описание!$B$7</f>
        <v/>
      </c>
    </row>
    <row r="485">
      <c r="A485" s="13" t="n">
        <v>39407</v>
      </c>
      <c r="B485" s="14" t="n">
        <v>1.4814</v>
      </c>
      <c r="C485" t="inlineStr">
        <is>
          <t>До</t>
        </is>
      </c>
      <c r="D485" s="15">
        <f>B485/B484-1</f>
        <v/>
      </c>
      <c r="E485" s="16">
        <f>LN(B485/B484)</f>
        <v/>
      </c>
      <c r="F485" s="15">
        <f>_xlfn.STDEV.S(OFFSET(D485,-Описание!$B$12,0,Описание!$B$12,1))</f>
        <v/>
      </c>
      <c r="G485" s="15">
        <f>SQRT(Описание!$B$13*G484^2+(1-Описание!$B$13)*D484^2)</f>
        <v/>
      </c>
      <c r="H485" s="17">
        <f>Описание!$B$9*F485*Описание!$B$7</f>
        <v/>
      </c>
      <c r="I485" s="17">
        <f>Описание!$B$9*G485*Описание!$B$7</f>
        <v/>
      </c>
    </row>
    <row r="486">
      <c r="A486" s="13" t="n">
        <v>39408</v>
      </c>
      <c r="B486" s="14" t="n">
        <v>1.4829</v>
      </c>
      <c r="C486" t="inlineStr">
        <is>
          <t>До</t>
        </is>
      </c>
      <c r="D486" s="15">
        <f>B486/B485-1</f>
        <v/>
      </c>
      <c r="E486" s="16">
        <f>LN(B486/B485)</f>
        <v/>
      </c>
      <c r="F486" s="15">
        <f>_xlfn.STDEV.S(OFFSET(D486,-Описание!$B$12,0,Описание!$B$12,1))</f>
        <v/>
      </c>
      <c r="G486" s="15">
        <f>SQRT(Описание!$B$13*G485^2+(1-Описание!$B$13)*D485^2)</f>
        <v/>
      </c>
      <c r="H486" s="17">
        <f>Описание!$B$9*F486*Описание!$B$7</f>
        <v/>
      </c>
      <c r="I486" s="17">
        <f>Описание!$B$9*G486*Описание!$B$7</f>
        <v/>
      </c>
    </row>
    <row r="487">
      <c r="A487" s="13" t="n">
        <v>39409</v>
      </c>
      <c r="B487" s="14" t="n">
        <v>1.4809</v>
      </c>
      <c r="C487" t="inlineStr">
        <is>
          <t>До</t>
        </is>
      </c>
      <c r="D487" s="15">
        <f>B487/B486-1</f>
        <v/>
      </c>
      <c r="E487" s="16">
        <f>LN(B487/B486)</f>
        <v/>
      </c>
      <c r="F487" s="15">
        <f>_xlfn.STDEV.S(OFFSET(D487,-Описание!$B$12,0,Описание!$B$12,1))</f>
        <v/>
      </c>
      <c r="G487" s="15">
        <f>SQRT(Описание!$B$13*G486^2+(1-Описание!$B$13)*D486^2)</f>
        <v/>
      </c>
      <c r="H487" s="17">
        <f>Описание!$B$9*F487*Описание!$B$7</f>
        <v/>
      </c>
      <c r="I487" s="17">
        <f>Описание!$B$9*G487*Описание!$B$7</f>
        <v/>
      </c>
    </row>
    <row r="488">
      <c r="A488" s="13" t="n">
        <v>39412</v>
      </c>
      <c r="B488" s="14" t="n">
        <v>1.4845</v>
      </c>
      <c r="C488" t="inlineStr">
        <is>
          <t>До</t>
        </is>
      </c>
      <c r="D488" s="15">
        <f>B488/B487-1</f>
        <v/>
      </c>
      <c r="E488" s="16">
        <f>LN(B488/B487)</f>
        <v/>
      </c>
      <c r="F488" s="15">
        <f>_xlfn.STDEV.S(OFFSET(D488,-Описание!$B$12,0,Описание!$B$12,1))</f>
        <v/>
      </c>
      <c r="G488" s="15">
        <f>SQRT(Описание!$B$13*G487^2+(1-Описание!$B$13)*D487^2)</f>
        <v/>
      </c>
      <c r="H488" s="17">
        <f>Описание!$B$9*F488*Описание!$B$7</f>
        <v/>
      </c>
      <c r="I488" s="17">
        <f>Описание!$B$9*G488*Описание!$B$7</f>
        <v/>
      </c>
    </row>
    <row r="489">
      <c r="A489" s="13" t="n">
        <v>39413</v>
      </c>
      <c r="B489" s="14" t="n">
        <v>1.4874</v>
      </c>
      <c r="C489" t="inlineStr">
        <is>
          <t>До</t>
        </is>
      </c>
      <c r="D489" s="15">
        <f>B489/B488-1</f>
        <v/>
      </c>
      <c r="E489" s="16">
        <f>LN(B489/B488)</f>
        <v/>
      </c>
      <c r="F489" s="15">
        <f>_xlfn.STDEV.S(OFFSET(D489,-Описание!$B$12,0,Описание!$B$12,1))</f>
        <v/>
      </c>
      <c r="G489" s="15">
        <f>SQRT(Описание!$B$13*G488^2+(1-Описание!$B$13)*D488^2)</f>
        <v/>
      </c>
      <c r="H489" s="17">
        <f>Описание!$B$9*F489*Описание!$B$7</f>
        <v/>
      </c>
      <c r="I489" s="17">
        <f>Описание!$B$9*G489*Описание!$B$7</f>
        <v/>
      </c>
    </row>
    <row r="490">
      <c r="A490" s="13" t="n">
        <v>39414</v>
      </c>
      <c r="B490" s="14" t="n">
        <v>1.4747</v>
      </c>
      <c r="C490" t="inlineStr">
        <is>
          <t>До</t>
        </is>
      </c>
      <c r="D490" s="15">
        <f>B490/B489-1</f>
        <v/>
      </c>
      <c r="E490" s="16">
        <f>LN(B490/B489)</f>
        <v/>
      </c>
      <c r="F490" s="15">
        <f>_xlfn.STDEV.S(OFFSET(D490,-Описание!$B$12,0,Описание!$B$12,1))</f>
        <v/>
      </c>
      <c r="G490" s="15">
        <f>SQRT(Описание!$B$13*G489^2+(1-Описание!$B$13)*D489^2)</f>
        <v/>
      </c>
      <c r="H490" s="17">
        <f>Описание!$B$9*F490*Описание!$B$7</f>
        <v/>
      </c>
      <c r="I490" s="17">
        <f>Описание!$B$9*G490*Описание!$B$7</f>
        <v/>
      </c>
    </row>
    <row r="491">
      <c r="A491" s="13" t="n">
        <v>39415</v>
      </c>
      <c r="B491" s="14" t="n">
        <v>1.4738</v>
      </c>
      <c r="C491" t="inlineStr">
        <is>
          <t>До</t>
        </is>
      </c>
      <c r="D491" s="15">
        <f>B491/B490-1</f>
        <v/>
      </c>
      <c r="E491" s="16">
        <f>LN(B491/B490)</f>
        <v/>
      </c>
      <c r="F491" s="15">
        <f>_xlfn.STDEV.S(OFFSET(D491,-Описание!$B$12,0,Описание!$B$12,1))</f>
        <v/>
      </c>
      <c r="G491" s="15">
        <f>SQRT(Описание!$B$13*G490^2+(1-Описание!$B$13)*D490^2)</f>
        <v/>
      </c>
      <c r="H491" s="17">
        <f>Описание!$B$9*F491*Описание!$B$7</f>
        <v/>
      </c>
      <c r="I491" s="17">
        <f>Описание!$B$9*G491*Описание!$B$7</f>
        <v/>
      </c>
    </row>
    <row r="492">
      <c r="A492" s="13" t="n">
        <v>39416</v>
      </c>
      <c r="B492" s="14" t="n">
        <v>1.4761</v>
      </c>
      <c r="C492" t="inlineStr">
        <is>
          <t>До</t>
        </is>
      </c>
      <c r="D492" s="15">
        <f>B492/B491-1</f>
        <v/>
      </c>
      <c r="E492" s="16">
        <f>LN(B492/B491)</f>
        <v/>
      </c>
      <c r="F492" s="15">
        <f>_xlfn.STDEV.S(OFFSET(D492,-Описание!$B$12,0,Описание!$B$12,1))</f>
        <v/>
      </c>
      <c r="G492" s="15">
        <f>SQRT(Описание!$B$13*G491^2+(1-Описание!$B$13)*D491^2)</f>
        <v/>
      </c>
      <c r="H492" s="17">
        <f>Описание!$B$9*F492*Описание!$B$7</f>
        <v/>
      </c>
      <c r="I492" s="17">
        <f>Описание!$B$9*G492*Описание!$B$7</f>
        <v/>
      </c>
    </row>
    <row r="493">
      <c r="A493" s="13" t="n">
        <v>39419</v>
      </c>
      <c r="B493" s="14" t="n">
        <v>1.4666</v>
      </c>
      <c r="C493" t="inlineStr">
        <is>
          <t>До</t>
        </is>
      </c>
      <c r="D493" s="15">
        <f>B493/B492-1</f>
        <v/>
      </c>
      <c r="E493" s="16">
        <f>LN(B493/B492)</f>
        <v/>
      </c>
      <c r="F493" s="15">
        <f>_xlfn.STDEV.S(OFFSET(D493,-Описание!$B$12,0,Описание!$B$12,1))</f>
        <v/>
      </c>
      <c r="G493" s="15">
        <f>SQRT(Описание!$B$13*G492^2+(1-Описание!$B$13)*D492^2)</f>
        <v/>
      </c>
      <c r="H493" s="17">
        <f>Описание!$B$9*F493*Описание!$B$7</f>
        <v/>
      </c>
      <c r="I493" s="17">
        <f>Описание!$B$9*G493*Описание!$B$7</f>
        <v/>
      </c>
    </row>
    <row r="494">
      <c r="A494" s="13" t="n">
        <v>39420</v>
      </c>
      <c r="B494" s="14" t="n">
        <v>1.4741</v>
      </c>
      <c r="C494" t="inlineStr">
        <is>
          <t>До</t>
        </is>
      </c>
      <c r="D494" s="15">
        <f>B494/B493-1</f>
        <v/>
      </c>
      <c r="E494" s="16">
        <f>LN(B494/B493)</f>
        <v/>
      </c>
      <c r="F494" s="15">
        <f>_xlfn.STDEV.S(OFFSET(D494,-Описание!$B$12,0,Описание!$B$12,1))</f>
        <v/>
      </c>
      <c r="G494" s="15">
        <f>SQRT(Описание!$B$13*G493^2+(1-Описание!$B$13)*D493^2)</f>
        <v/>
      </c>
      <c r="H494" s="17">
        <f>Описание!$B$9*F494*Описание!$B$7</f>
        <v/>
      </c>
      <c r="I494" s="17">
        <f>Описание!$B$9*G494*Описание!$B$7</f>
        <v/>
      </c>
    </row>
    <row r="495">
      <c r="A495" s="13" t="n">
        <v>39421</v>
      </c>
      <c r="B495" s="14" t="n">
        <v>1.472</v>
      </c>
      <c r="C495" t="inlineStr">
        <is>
          <t>До</t>
        </is>
      </c>
      <c r="D495" s="15">
        <f>B495/B494-1</f>
        <v/>
      </c>
      <c r="E495" s="16">
        <f>LN(B495/B494)</f>
        <v/>
      </c>
      <c r="F495" s="15">
        <f>_xlfn.STDEV.S(OFFSET(D495,-Описание!$B$12,0,Описание!$B$12,1))</f>
        <v/>
      </c>
      <c r="G495" s="15">
        <f>SQRT(Описание!$B$13*G494^2+(1-Описание!$B$13)*D494^2)</f>
        <v/>
      </c>
      <c r="H495" s="17">
        <f>Описание!$B$9*F495*Описание!$B$7</f>
        <v/>
      </c>
      <c r="I495" s="17">
        <f>Описание!$B$9*G495*Описание!$B$7</f>
        <v/>
      </c>
    </row>
    <row r="496">
      <c r="A496" s="13" t="n">
        <v>39422</v>
      </c>
      <c r="B496" s="14" t="n">
        <v>1.4554</v>
      </c>
      <c r="C496" t="inlineStr">
        <is>
          <t>До</t>
        </is>
      </c>
      <c r="D496" s="15">
        <f>B496/B495-1</f>
        <v/>
      </c>
      <c r="E496" s="16">
        <f>LN(B496/B495)</f>
        <v/>
      </c>
      <c r="F496" s="15">
        <f>_xlfn.STDEV.S(OFFSET(D496,-Описание!$B$12,0,Описание!$B$12,1))</f>
        <v/>
      </c>
      <c r="G496" s="15">
        <f>SQRT(Описание!$B$13*G495^2+(1-Описание!$B$13)*D495^2)</f>
        <v/>
      </c>
      <c r="H496" s="17">
        <f>Описание!$B$9*F496*Описание!$B$7</f>
        <v/>
      </c>
      <c r="I496" s="17">
        <f>Описание!$B$9*G496*Описание!$B$7</f>
        <v/>
      </c>
    </row>
    <row r="497">
      <c r="A497" s="13" t="n">
        <v>39423</v>
      </c>
      <c r="B497" s="14" t="n">
        <v>1.4649</v>
      </c>
      <c r="C497" t="inlineStr">
        <is>
          <t>До</t>
        </is>
      </c>
      <c r="D497" s="15">
        <f>B497/B496-1</f>
        <v/>
      </c>
      <c r="E497" s="16">
        <f>LN(B497/B496)</f>
        <v/>
      </c>
      <c r="F497" s="15">
        <f>_xlfn.STDEV.S(OFFSET(D497,-Описание!$B$12,0,Описание!$B$12,1))</f>
        <v/>
      </c>
      <c r="G497" s="15">
        <f>SQRT(Описание!$B$13*G496^2+(1-Описание!$B$13)*D496^2)</f>
        <v/>
      </c>
      <c r="H497" s="17">
        <f>Описание!$B$9*F497*Описание!$B$7</f>
        <v/>
      </c>
      <c r="I497" s="17">
        <f>Описание!$B$9*G497*Описание!$B$7</f>
        <v/>
      </c>
    </row>
    <row r="498">
      <c r="A498" s="13" t="n">
        <v>39426</v>
      </c>
      <c r="B498" s="14" t="n">
        <v>1.4718</v>
      </c>
      <c r="C498" t="inlineStr">
        <is>
          <t>До</t>
        </is>
      </c>
      <c r="D498" s="15">
        <f>B498/B497-1</f>
        <v/>
      </c>
      <c r="E498" s="16">
        <f>LN(B498/B497)</f>
        <v/>
      </c>
      <c r="F498" s="15">
        <f>_xlfn.STDEV.S(OFFSET(D498,-Описание!$B$12,0,Описание!$B$12,1))</f>
        <v/>
      </c>
      <c r="G498" s="15">
        <f>SQRT(Описание!$B$13*G497^2+(1-Описание!$B$13)*D497^2)</f>
        <v/>
      </c>
      <c r="H498" s="17">
        <f>Описание!$B$9*F498*Описание!$B$7</f>
        <v/>
      </c>
      <c r="I498" s="17">
        <f>Описание!$B$9*G498*Описание!$B$7</f>
        <v/>
      </c>
    </row>
    <row r="499">
      <c r="A499" s="13" t="n">
        <v>39427</v>
      </c>
      <c r="B499" s="14" t="n">
        <v>1.4672</v>
      </c>
      <c r="C499" t="inlineStr">
        <is>
          <t>До</t>
        </is>
      </c>
      <c r="D499" s="15">
        <f>B499/B498-1</f>
        <v/>
      </c>
      <c r="E499" s="16">
        <f>LN(B499/B498)</f>
        <v/>
      </c>
      <c r="F499" s="15">
        <f>_xlfn.STDEV.S(OFFSET(D499,-Описание!$B$12,0,Описание!$B$12,1))</f>
        <v/>
      </c>
      <c r="G499" s="15">
        <f>SQRT(Описание!$B$13*G498^2+(1-Описание!$B$13)*D498^2)</f>
        <v/>
      </c>
      <c r="H499" s="17">
        <f>Описание!$B$9*F499*Описание!$B$7</f>
        <v/>
      </c>
      <c r="I499" s="17">
        <f>Описание!$B$9*G499*Описание!$B$7</f>
        <v/>
      </c>
    </row>
    <row r="500">
      <c r="A500" s="13" t="n">
        <v>39428</v>
      </c>
      <c r="B500" s="14" t="n">
        <v>1.4675</v>
      </c>
      <c r="C500" t="inlineStr">
        <is>
          <t>До</t>
        </is>
      </c>
      <c r="D500" s="15">
        <f>B500/B499-1</f>
        <v/>
      </c>
      <c r="E500" s="16">
        <f>LN(B500/B499)</f>
        <v/>
      </c>
      <c r="F500" s="15">
        <f>_xlfn.STDEV.S(OFFSET(D500,-Описание!$B$12,0,Описание!$B$12,1))</f>
        <v/>
      </c>
      <c r="G500" s="15">
        <f>SQRT(Описание!$B$13*G499^2+(1-Описание!$B$13)*D499^2)</f>
        <v/>
      </c>
      <c r="H500" s="17">
        <f>Описание!$B$9*F500*Описание!$B$7</f>
        <v/>
      </c>
      <c r="I500" s="17">
        <f>Описание!$B$9*G500*Описание!$B$7</f>
        <v/>
      </c>
    </row>
    <row r="501">
      <c r="A501" s="13" t="n">
        <v>39429</v>
      </c>
      <c r="B501" s="14" t="n">
        <v>1.4683</v>
      </c>
      <c r="C501" t="inlineStr">
        <is>
          <t>До</t>
        </is>
      </c>
      <c r="D501" s="15">
        <f>B501/B500-1</f>
        <v/>
      </c>
      <c r="E501" s="16">
        <f>LN(B501/B500)</f>
        <v/>
      </c>
      <c r="F501" s="15">
        <f>_xlfn.STDEV.S(OFFSET(D501,-Описание!$B$12,0,Описание!$B$12,1))</f>
        <v/>
      </c>
      <c r="G501" s="15">
        <f>SQRT(Описание!$B$13*G500^2+(1-Описание!$B$13)*D500^2)</f>
        <v/>
      </c>
      <c r="H501" s="17">
        <f>Описание!$B$9*F501*Описание!$B$7</f>
        <v/>
      </c>
      <c r="I501" s="17">
        <f>Описание!$B$9*G501*Описание!$B$7</f>
        <v/>
      </c>
    </row>
    <row r="502">
      <c r="A502" s="13" t="n">
        <v>39430</v>
      </c>
      <c r="B502" s="14" t="n">
        <v>1.4509</v>
      </c>
      <c r="C502" t="inlineStr">
        <is>
          <t>До</t>
        </is>
      </c>
      <c r="D502" s="15">
        <f>B502/B501-1</f>
        <v/>
      </c>
      <c r="E502" s="16">
        <f>LN(B502/B501)</f>
        <v/>
      </c>
      <c r="F502" s="15">
        <f>_xlfn.STDEV.S(OFFSET(D502,-Описание!$B$12,0,Описание!$B$12,1))</f>
        <v/>
      </c>
      <c r="G502" s="15">
        <f>SQRT(Описание!$B$13*G501^2+(1-Описание!$B$13)*D501^2)</f>
        <v/>
      </c>
      <c r="H502" s="17">
        <f>Описание!$B$9*F502*Описание!$B$7</f>
        <v/>
      </c>
      <c r="I502" s="17">
        <f>Описание!$B$9*G502*Описание!$B$7</f>
        <v/>
      </c>
    </row>
    <row r="503">
      <c r="A503" s="13" t="n">
        <v>39433</v>
      </c>
      <c r="B503" s="14" t="n">
        <v>1.4393</v>
      </c>
      <c r="C503" t="inlineStr">
        <is>
          <t>До</t>
        </is>
      </c>
      <c r="D503" s="15">
        <f>B503/B502-1</f>
        <v/>
      </c>
      <c r="E503" s="16">
        <f>LN(B503/B502)</f>
        <v/>
      </c>
      <c r="F503" s="15">
        <f>_xlfn.STDEV.S(OFFSET(D503,-Описание!$B$12,0,Описание!$B$12,1))</f>
        <v/>
      </c>
      <c r="G503" s="15">
        <f>SQRT(Описание!$B$13*G502^2+(1-Описание!$B$13)*D502^2)</f>
        <v/>
      </c>
      <c r="H503" s="17">
        <f>Описание!$B$9*F503*Описание!$B$7</f>
        <v/>
      </c>
      <c r="I503" s="17">
        <f>Описание!$B$9*G503*Описание!$B$7</f>
        <v/>
      </c>
    </row>
    <row r="504">
      <c r="A504" s="13" t="n">
        <v>39434</v>
      </c>
      <c r="B504" s="14" t="n">
        <v>1.4416</v>
      </c>
      <c r="C504" t="inlineStr">
        <is>
          <t>До</t>
        </is>
      </c>
      <c r="D504" s="15">
        <f>B504/B503-1</f>
        <v/>
      </c>
      <c r="E504" s="16">
        <f>LN(B504/B503)</f>
        <v/>
      </c>
      <c r="F504" s="15">
        <f>_xlfn.STDEV.S(OFFSET(D504,-Описание!$B$12,0,Описание!$B$12,1))</f>
        <v/>
      </c>
      <c r="G504" s="15">
        <f>SQRT(Описание!$B$13*G503^2+(1-Описание!$B$13)*D503^2)</f>
        <v/>
      </c>
      <c r="H504" s="17">
        <f>Описание!$B$9*F504*Описание!$B$7</f>
        <v/>
      </c>
      <c r="I504" s="17">
        <f>Описание!$B$9*G504*Описание!$B$7</f>
        <v/>
      </c>
    </row>
    <row r="505">
      <c r="A505" s="13" t="n">
        <v>39435</v>
      </c>
      <c r="B505" s="14" t="n">
        <v>1.4385</v>
      </c>
      <c r="C505" t="inlineStr">
        <is>
          <t>До</t>
        </is>
      </c>
      <c r="D505" s="15">
        <f>B505/B504-1</f>
        <v/>
      </c>
      <c r="E505" s="16">
        <f>LN(B505/B504)</f>
        <v/>
      </c>
      <c r="F505" s="15">
        <f>_xlfn.STDEV.S(OFFSET(D505,-Описание!$B$12,0,Описание!$B$12,1))</f>
        <v/>
      </c>
      <c r="G505" s="15">
        <f>SQRT(Описание!$B$13*G504^2+(1-Описание!$B$13)*D504^2)</f>
        <v/>
      </c>
      <c r="H505" s="17">
        <f>Описание!$B$9*F505*Описание!$B$7</f>
        <v/>
      </c>
      <c r="I505" s="17">
        <f>Описание!$B$9*G505*Описание!$B$7</f>
        <v/>
      </c>
    </row>
    <row r="506">
      <c r="A506" s="13" t="n">
        <v>39436</v>
      </c>
      <c r="B506" s="14" t="n">
        <v>1.4349</v>
      </c>
      <c r="C506" t="inlineStr">
        <is>
          <t>До</t>
        </is>
      </c>
      <c r="D506" s="15">
        <f>B506/B505-1</f>
        <v/>
      </c>
      <c r="E506" s="16">
        <f>LN(B506/B505)</f>
        <v/>
      </c>
      <c r="F506" s="15">
        <f>_xlfn.STDEV.S(OFFSET(D506,-Описание!$B$12,0,Описание!$B$12,1))</f>
        <v/>
      </c>
      <c r="G506" s="15">
        <f>SQRT(Описание!$B$13*G505^2+(1-Описание!$B$13)*D505^2)</f>
        <v/>
      </c>
      <c r="H506" s="17">
        <f>Описание!$B$9*F506*Описание!$B$7</f>
        <v/>
      </c>
      <c r="I506" s="17">
        <f>Описание!$B$9*G506*Описание!$B$7</f>
        <v/>
      </c>
    </row>
    <row r="507">
      <c r="A507" s="13" t="n">
        <v>39437</v>
      </c>
      <c r="B507" s="14" t="n">
        <v>1.438</v>
      </c>
      <c r="C507" t="inlineStr">
        <is>
          <t>До</t>
        </is>
      </c>
      <c r="D507" s="15">
        <f>B507/B506-1</f>
        <v/>
      </c>
      <c r="E507" s="16">
        <f>LN(B507/B506)</f>
        <v/>
      </c>
      <c r="F507" s="15">
        <f>_xlfn.STDEV.S(OFFSET(D507,-Описание!$B$12,0,Описание!$B$12,1))</f>
        <v/>
      </c>
      <c r="G507" s="15">
        <f>SQRT(Описание!$B$13*G506^2+(1-Описание!$B$13)*D506^2)</f>
        <v/>
      </c>
      <c r="H507" s="17">
        <f>Описание!$B$9*F507*Описание!$B$7</f>
        <v/>
      </c>
      <c r="I507" s="17">
        <f>Описание!$B$9*G507*Описание!$B$7</f>
        <v/>
      </c>
    </row>
    <row r="508">
      <c r="A508" s="13" t="n">
        <v>39440</v>
      </c>
      <c r="B508" s="14" t="n">
        <v>1.4398</v>
      </c>
      <c r="C508" t="inlineStr">
        <is>
          <t>До</t>
        </is>
      </c>
      <c r="D508" s="15">
        <f>B508/B507-1</f>
        <v/>
      </c>
      <c r="E508" s="16">
        <f>LN(B508/B507)</f>
        <v/>
      </c>
      <c r="F508" s="15">
        <f>_xlfn.STDEV.S(OFFSET(D508,-Описание!$B$12,0,Описание!$B$12,1))</f>
        <v/>
      </c>
      <c r="G508" s="15">
        <f>SQRT(Описание!$B$13*G507^2+(1-Описание!$B$13)*D507^2)</f>
        <v/>
      </c>
      <c r="H508" s="17">
        <f>Описание!$B$9*F508*Описание!$B$7</f>
        <v/>
      </c>
      <c r="I508" s="17">
        <f>Описание!$B$9*G508*Описание!$B$7</f>
        <v/>
      </c>
    </row>
    <row r="509">
      <c r="A509" s="13" t="n">
        <v>39443</v>
      </c>
      <c r="B509" s="14" t="n">
        <v>1.4516</v>
      </c>
      <c r="C509" t="inlineStr">
        <is>
          <t>До</t>
        </is>
      </c>
      <c r="D509" s="15">
        <f>B509/B508-1</f>
        <v/>
      </c>
      <c r="E509" s="16">
        <f>LN(B509/B508)</f>
        <v/>
      </c>
      <c r="F509" s="15">
        <f>_xlfn.STDEV.S(OFFSET(D509,-Описание!$B$12,0,Описание!$B$12,1))</f>
        <v/>
      </c>
      <c r="G509" s="15">
        <f>SQRT(Описание!$B$13*G508^2+(1-Описание!$B$13)*D508^2)</f>
        <v/>
      </c>
      <c r="H509" s="17">
        <f>Описание!$B$9*F509*Описание!$B$7</f>
        <v/>
      </c>
      <c r="I509" s="17">
        <f>Описание!$B$9*G509*Описание!$B$7</f>
        <v/>
      </c>
    </row>
    <row r="510">
      <c r="A510" s="13" t="n">
        <v>39444</v>
      </c>
      <c r="B510" s="14" t="n">
        <v>1.4692</v>
      </c>
      <c r="C510" t="inlineStr">
        <is>
          <t>До</t>
        </is>
      </c>
      <c r="D510" s="15">
        <f>B510/B509-1</f>
        <v/>
      </c>
      <c r="E510" s="16">
        <f>LN(B510/B509)</f>
        <v/>
      </c>
      <c r="F510" s="15">
        <f>_xlfn.STDEV.S(OFFSET(D510,-Описание!$B$12,0,Описание!$B$12,1))</f>
        <v/>
      </c>
      <c r="G510" s="15">
        <f>SQRT(Описание!$B$13*G509^2+(1-Описание!$B$13)*D509^2)</f>
        <v/>
      </c>
      <c r="H510" s="17">
        <f>Описание!$B$9*F510*Описание!$B$7</f>
        <v/>
      </c>
      <c r="I510" s="17">
        <f>Описание!$B$9*G510*Описание!$B$7</f>
        <v/>
      </c>
    </row>
    <row r="511">
      <c r="A511" s="13" t="n">
        <v>39447</v>
      </c>
      <c r="B511" s="14" t="n">
        <v>1.4721</v>
      </c>
      <c r="C511" t="inlineStr">
        <is>
          <t>До</t>
        </is>
      </c>
      <c r="D511" s="15">
        <f>B511/B510-1</f>
        <v/>
      </c>
      <c r="E511" s="16">
        <f>LN(B511/B510)</f>
        <v/>
      </c>
      <c r="F511" s="15">
        <f>_xlfn.STDEV.S(OFFSET(D511,-Описание!$B$12,0,Описание!$B$12,1))</f>
        <v/>
      </c>
      <c r="G511" s="15">
        <f>SQRT(Описание!$B$13*G510^2+(1-Описание!$B$13)*D510^2)</f>
        <v/>
      </c>
      <c r="H511" s="17">
        <f>Описание!$B$9*F511*Описание!$B$7</f>
        <v/>
      </c>
      <c r="I511" s="17">
        <f>Описание!$B$9*G511*Описание!$B$7</f>
        <v/>
      </c>
    </row>
    <row r="512">
      <c r="A512" s="13" t="n">
        <v>39449</v>
      </c>
      <c r="B512" s="14" t="n">
        <v>1.4688</v>
      </c>
      <c r="C512" t="inlineStr">
        <is>
          <t>После</t>
        </is>
      </c>
      <c r="D512" s="15">
        <f>B512/B511-1</f>
        <v/>
      </c>
      <c r="E512" s="16">
        <f>LN(B512/B511)</f>
        <v/>
      </c>
      <c r="F512" s="15">
        <f>_xlfn.STDEV.S(OFFSET(D512,-Описание!$B$12,0,Описание!$B$12,1))</f>
        <v/>
      </c>
      <c r="G512" s="15">
        <f>SQRT(Описание!$B$13*G511^2+(1-Описание!$B$13)*D511^2)</f>
        <v/>
      </c>
      <c r="H512" s="17">
        <f>Описание!$B$9*F512*Описание!$B$7</f>
        <v/>
      </c>
      <c r="I512" s="17">
        <f>Описание!$B$9*G512*Описание!$B$7</f>
        <v/>
      </c>
    </row>
    <row r="513">
      <c r="A513" s="13" t="n">
        <v>39450</v>
      </c>
      <c r="B513" s="14" t="n">
        <v>1.4753</v>
      </c>
      <c r="C513" t="inlineStr">
        <is>
          <t>После</t>
        </is>
      </c>
      <c r="D513" s="15">
        <f>B513/B512-1</f>
        <v/>
      </c>
      <c r="E513" s="16">
        <f>LN(B513/B512)</f>
        <v/>
      </c>
      <c r="F513" s="15">
        <f>_xlfn.STDEV.S(OFFSET(D513,-Описание!$B$12,0,Описание!$B$12,1))</f>
        <v/>
      </c>
      <c r="G513" s="15">
        <f>SQRT(Описание!$B$13*G512^2+(1-Описание!$B$13)*D512^2)</f>
        <v/>
      </c>
      <c r="H513" s="17">
        <f>Описание!$B$9*F513*Описание!$B$7</f>
        <v/>
      </c>
      <c r="I513" s="17">
        <f>Описание!$B$9*G513*Описание!$B$7</f>
        <v/>
      </c>
    </row>
    <row r="514">
      <c r="A514" s="13" t="n">
        <v>39451</v>
      </c>
      <c r="B514" s="14" t="n">
        <v>1.4727</v>
      </c>
      <c r="C514" t="inlineStr">
        <is>
          <t>После</t>
        </is>
      </c>
      <c r="D514" s="15">
        <f>B514/B513-1</f>
        <v/>
      </c>
      <c r="E514" s="16">
        <f>LN(B514/B513)</f>
        <v/>
      </c>
      <c r="F514" s="15">
        <f>_xlfn.STDEV.S(OFFSET(D514,-Описание!$B$12,0,Описание!$B$12,1))</f>
        <v/>
      </c>
      <c r="G514" s="15">
        <f>SQRT(Описание!$B$13*G513^2+(1-Описание!$B$13)*D513^2)</f>
        <v/>
      </c>
      <c r="H514" s="17">
        <f>Описание!$B$9*F514*Описание!$B$7</f>
        <v/>
      </c>
      <c r="I514" s="17">
        <f>Описание!$B$9*G514*Описание!$B$7</f>
        <v/>
      </c>
    </row>
    <row r="515">
      <c r="A515" s="13" t="n">
        <v>39454</v>
      </c>
      <c r="B515" s="14" t="n">
        <v>1.4723</v>
      </c>
      <c r="C515" t="inlineStr">
        <is>
          <t>После</t>
        </is>
      </c>
      <c r="D515" s="15">
        <f>B515/B514-1</f>
        <v/>
      </c>
      <c r="E515" s="16">
        <f>LN(B515/B514)</f>
        <v/>
      </c>
      <c r="F515" s="15">
        <f>_xlfn.STDEV.S(OFFSET(D515,-Описание!$B$12,0,Описание!$B$12,1))</f>
        <v/>
      </c>
      <c r="G515" s="15">
        <f>SQRT(Описание!$B$13*G514^2+(1-Описание!$B$13)*D514^2)</f>
        <v/>
      </c>
      <c r="H515" s="17">
        <f>Описание!$B$9*F515*Описание!$B$7</f>
        <v/>
      </c>
      <c r="I515" s="17">
        <f>Описание!$B$9*G515*Описание!$B$7</f>
        <v/>
      </c>
    </row>
    <row r="516">
      <c r="A516" s="13" t="n">
        <v>39455</v>
      </c>
      <c r="B516" s="14" t="n">
        <v>1.4705</v>
      </c>
      <c r="C516" t="inlineStr">
        <is>
          <t>После</t>
        </is>
      </c>
      <c r="D516" s="15">
        <f>B516/B515-1</f>
        <v/>
      </c>
      <c r="E516" s="16">
        <f>LN(B516/B515)</f>
        <v/>
      </c>
      <c r="F516" s="15">
        <f>_xlfn.STDEV.S(OFFSET(D516,-Описание!$B$12,0,Описание!$B$12,1))</f>
        <v/>
      </c>
      <c r="G516" s="15">
        <f>SQRT(Описание!$B$13*G515^2+(1-Описание!$B$13)*D515^2)</f>
        <v/>
      </c>
      <c r="H516" s="17">
        <f>Описание!$B$9*F516*Описание!$B$7</f>
        <v/>
      </c>
      <c r="I516" s="17">
        <f>Описание!$B$9*G516*Описание!$B$7</f>
        <v/>
      </c>
    </row>
    <row r="517">
      <c r="A517" s="13" t="n">
        <v>39456</v>
      </c>
      <c r="B517" s="14" t="n">
        <v>1.468</v>
      </c>
      <c r="C517" t="inlineStr">
        <is>
          <t>После</t>
        </is>
      </c>
      <c r="D517" s="15">
        <f>B517/B516-1</f>
        <v/>
      </c>
      <c r="E517" s="16">
        <f>LN(B517/B516)</f>
        <v/>
      </c>
      <c r="F517" s="15">
        <f>_xlfn.STDEV.S(OFFSET(D517,-Описание!$B$12,0,Описание!$B$12,1))</f>
        <v/>
      </c>
      <c r="G517" s="15">
        <f>SQRT(Описание!$B$13*G516^2+(1-Описание!$B$13)*D516^2)</f>
        <v/>
      </c>
      <c r="H517" s="17">
        <f>Описание!$B$9*F517*Описание!$B$7</f>
        <v/>
      </c>
      <c r="I517" s="17">
        <f>Описание!$B$9*G517*Описание!$B$7</f>
        <v/>
      </c>
    </row>
    <row r="518">
      <c r="A518" s="13" t="n">
        <v>39457</v>
      </c>
      <c r="B518" s="14" t="n">
        <v>1.4662</v>
      </c>
      <c r="C518" t="inlineStr">
        <is>
          <t>После</t>
        </is>
      </c>
      <c r="D518" s="15">
        <f>B518/B517-1</f>
        <v/>
      </c>
      <c r="E518" s="16">
        <f>LN(B518/B517)</f>
        <v/>
      </c>
      <c r="F518" s="15">
        <f>_xlfn.STDEV.S(OFFSET(D518,-Описание!$B$12,0,Описание!$B$12,1))</f>
        <v/>
      </c>
      <c r="G518" s="15">
        <f>SQRT(Описание!$B$13*G517^2+(1-Описание!$B$13)*D517^2)</f>
        <v/>
      </c>
      <c r="H518" s="17">
        <f>Описание!$B$9*F518*Описание!$B$7</f>
        <v/>
      </c>
      <c r="I518" s="17">
        <f>Описание!$B$9*G518*Описание!$B$7</f>
        <v/>
      </c>
    </row>
    <row r="519">
      <c r="A519" s="13" t="n">
        <v>39458</v>
      </c>
      <c r="B519" s="14" t="n">
        <v>1.4792</v>
      </c>
      <c r="C519" t="inlineStr">
        <is>
          <t>После</t>
        </is>
      </c>
      <c r="D519" s="15">
        <f>B519/B518-1</f>
        <v/>
      </c>
      <c r="E519" s="16">
        <f>LN(B519/B518)</f>
        <v/>
      </c>
      <c r="F519" s="15">
        <f>_xlfn.STDEV.S(OFFSET(D519,-Описание!$B$12,0,Описание!$B$12,1))</f>
        <v/>
      </c>
      <c r="G519" s="15">
        <f>SQRT(Описание!$B$13*G518^2+(1-Описание!$B$13)*D518^2)</f>
        <v/>
      </c>
      <c r="H519" s="17">
        <f>Описание!$B$9*F519*Описание!$B$7</f>
        <v/>
      </c>
      <c r="I519" s="17">
        <f>Описание!$B$9*G519*Описание!$B$7</f>
        <v/>
      </c>
    </row>
    <row r="520">
      <c r="A520" s="13" t="n">
        <v>39461</v>
      </c>
      <c r="B520" s="14" t="n">
        <v>1.4895</v>
      </c>
      <c r="C520" t="inlineStr">
        <is>
          <t>После</t>
        </is>
      </c>
      <c r="D520" s="15">
        <f>B520/B519-1</f>
        <v/>
      </c>
      <c r="E520" s="16">
        <f>LN(B520/B519)</f>
        <v/>
      </c>
      <c r="F520" s="15">
        <f>_xlfn.STDEV.S(OFFSET(D520,-Описание!$B$12,0,Описание!$B$12,1))</f>
        <v/>
      </c>
      <c r="G520" s="15">
        <f>SQRT(Описание!$B$13*G519^2+(1-Описание!$B$13)*D519^2)</f>
        <v/>
      </c>
      <c r="H520" s="17">
        <f>Описание!$B$9*F520*Описание!$B$7</f>
        <v/>
      </c>
      <c r="I520" s="17">
        <f>Описание!$B$9*G520*Описание!$B$7</f>
        <v/>
      </c>
    </row>
    <row r="521">
      <c r="A521" s="13" t="n">
        <v>39462</v>
      </c>
      <c r="B521" s="14" t="n">
        <v>1.4886</v>
      </c>
      <c r="C521" t="inlineStr">
        <is>
          <t>После</t>
        </is>
      </c>
      <c r="D521" s="15">
        <f>B521/B520-1</f>
        <v/>
      </c>
      <c r="E521" s="16">
        <f>LN(B521/B520)</f>
        <v/>
      </c>
      <c r="F521" s="15">
        <f>_xlfn.STDEV.S(OFFSET(D521,-Описание!$B$12,0,Описание!$B$12,1))</f>
        <v/>
      </c>
      <c r="G521" s="15">
        <f>SQRT(Описание!$B$13*G520^2+(1-Описание!$B$13)*D520^2)</f>
        <v/>
      </c>
      <c r="H521" s="17">
        <f>Описание!$B$9*F521*Описание!$B$7</f>
        <v/>
      </c>
      <c r="I521" s="17">
        <f>Описание!$B$9*G521*Описание!$B$7</f>
        <v/>
      </c>
    </row>
    <row r="522">
      <c r="A522" s="13" t="n">
        <v>39463</v>
      </c>
      <c r="B522" s="14" t="n">
        <v>1.4792</v>
      </c>
      <c r="C522" t="inlineStr">
        <is>
          <t>После</t>
        </is>
      </c>
      <c r="D522" s="15">
        <f>B522/B521-1</f>
        <v/>
      </c>
      <c r="E522" s="16">
        <f>LN(B522/B521)</f>
        <v/>
      </c>
      <c r="F522" s="15">
        <f>_xlfn.STDEV.S(OFFSET(D522,-Описание!$B$12,0,Описание!$B$12,1))</f>
        <v/>
      </c>
      <c r="G522" s="15">
        <f>SQRT(Описание!$B$13*G521^2+(1-Описание!$B$13)*D521^2)</f>
        <v/>
      </c>
      <c r="H522" s="17">
        <f>Описание!$B$9*F522*Описание!$B$7</f>
        <v/>
      </c>
      <c r="I522" s="17">
        <f>Описание!$B$9*G522*Описание!$B$7</f>
        <v/>
      </c>
    </row>
    <row r="523">
      <c r="A523" s="13" t="n">
        <v>39464</v>
      </c>
      <c r="B523" s="14" t="n">
        <v>1.4691</v>
      </c>
      <c r="C523" t="inlineStr">
        <is>
          <t>После</t>
        </is>
      </c>
      <c r="D523" s="15">
        <f>B523/B522-1</f>
        <v/>
      </c>
      <c r="E523" s="16">
        <f>LN(B523/B522)</f>
        <v/>
      </c>
      <c r="F523" s="15">
        <f>_xlfn.STDEV.S(OFFSET(D523,-Описание!$B$12,0,Описание!$B$12,1))</f>
        <v/>
      </c>
      <c r="G523" s="15">
        <f>SQRT(Описание!$B$13*G522^2+(1-Описание!$B$13)*D522^2)</f>
        <v/>
      </c>
      <c r="H523" s="17">
        <f>Описание!$B$9*F523*Описание!$B$7</f>
        <v/>
      </c>
      <c r="I523" s="17">
        <f>Описание!$B$9*G523*Описание!$B$7</f>
        <v/>
      </c>
    </row>
    <row r="524">
      <c r="A524" s="13" t="n">
        <v>39465</v>
      </c>
      <c r="B524" s="14" t="n">
        <v>1.4674</v>
      </c>
      <c r="C524" t="inlineStr">
        <is>
          <t>После</t>
        </is>
      </c>
      <c r="D524" s="15">
        <f>B524/B523-1</f>
        <v/>
      </c>
      <c r="E524" s="16">
        <f>LN(B524/B523)</f>
        <v/>
      </c>
      <c r="F524" s="15">
        <f>_xlfn.STDEV.S(OFFSET(D524,-Описание!$B$12,0,Описание!$B$12,1))</f>
        <v/>
      </c>
      <c r="G524" s="15">
        <f>SQRT(Описание!$B$13*G523^2+(1-Описание!$B$13)*D523^2)</f>
        <v/>
      </c>
      <c r="H524" s="17">
        <f>Описание!$B$9*F524*Описание!$B$7</f>
        <v/>
      </c>
      <c r="I524" s="17">
        <f>Описание!$B$9*G524*Описание!$B$7</f>
        <v/>
      </c>
    </row>
    <row r="525">
      <c r="A525" s="13" t="n">
        <v>39468</v>
      </c>
      <c r="B525" s="14" t="n">
        <v>1.4482</v>
      </c>
      <c r="C525" t="inlineStr">
        <is>
          <t>После</t>
        </is>
      </c>
      <c r="D525" s="15">
        <f>B525/B524-1</f>
        <v/>
      </c>
      <c r="E525" s="16">
        <f>LN(B525/B524)</f>
        <v/>
      </c>
      <c r="F525" s="15">
        <f>_xlfn.STDEV.S(OFFSET(D525,-Описание!$B$12,0,Описание!$B$12,1))</f>
        <v/>
      </c>
      <c r="G525" s="15">
        <f>SQRT(Описание!$B$13*G524^2+(1-Описание!$B$13)*D524^2)</f>
        <v/>
      </c>
      <c r="H525" s="17">
        <f>Описание!$B$9*F525*Описание!$B$7</f>
        <v/>
      </c>
      <c r="I525" s="17">
        <f>Описание!$B$9*G525*Описание!$B$7</f>
        <v/>
      </c>
    </row>
    <row r="526">
      <c r="A526" s="13" t="n">
        <v>39469</v>
      </c>
      <c r="B526" s="14" t="n">
        <v>1.4494</v>
      </c>
      <c r="C526" t="inlineStr">
        <is>
          <t>После</t>
        </is>
      </c>
      <c r="D526" s="15">
        <f>B526/B525-1</f>
        <v/>
      </c>
      <c r="E526" s="16">
        <f>LN(B526/B525)</f>
        <v/>
      </c>
      <c r="F526" s="15">
        <f>_xlfn.STDEV.S(OFFSET(D526,-Описание!$B$12,0,Описание!$B$12,1))</f>
        <v/>
      </c>
      <c r="G526" s="15">
        <f>SQRT(Описание!$B$13*G525^2+(1-Описание!$B$13)*D525^2)</f>
        <v/>
      </c>
      <c r="H526" s="17">
        <f>Описание!$B$9*F526*Описание!$B$7</f>
        <v/>
      </c>
      <c r="I526" s="17">
        <f>Описание!$B$9*G526*Описание!$B$7</f>
        <v/>
      </c>
    </row>
    <row r="527">
      <c r="A527" s="13" t="n">
        <v>39470</v>
      </c>
      <c r="B527" s="14" t="n">
        <v>1.4574</v>
      </c>
      <c r="C527" t="inlineStr">
        <is>
          <t>После</t>
        </is>
      </c>
      <c r="D527" s="15">
        <f>B527/B526-1</f>
        <v/>
      </c>
      <c r="E527" s="16">
        <f>LN(B527/B526)</f>
        <v/>
      </c>
      <c r="F527" s="15">
        <f>_xlfn.STDEV.S(OFFSET(D527,-Описание!$B$12,0,Описание!$B$12,1))</f>
        <v/>
      </c>
      <c r="G527" s="15">
        <f>SQRT(Описание!$B$13*G526^2+(1-Описание!$B$13)*D526^2)</f>
        <v/>
      </c>
      <c r="H527" s="17">
        <f>Описание!$B$9*F527*Описание!$B$7</f>
        <v/>
      </c>
      <c r="I527" s="17">
        <f>Описание!$B$9*G527*Описание!$B$7</f>
        <v/>
      </c>
    </row>
    <row r="528">
      <c r="A528" s="13" t="n">
        <v>39471</v>
      </c>
      <c r="B528" s="14" t="n">
        <v>1.4663</v>
      </c>
      <c r="C528" t="inlineStr">
        <is>
          <t>После</t>
        </is>
      </c>
      <c r="D528" s="15">
        <f>B528/B527-1</f>
        <v/>
      </c>
      <c r="E528" s="16">
        <f>LN(B528/B527)</f>
        <v/>
      </c>
      <c r="F528" s="15">
        <f>_xlfn.STDEV.S(OFFSET(D528,-Описание!$B$12,0,Описание!$B$12,1))</f>
        <v/>
      </c>
      <c r="G528" s="15">
        <f>SQRT(Описание!$B$13*G527^2+(1-Описание!$B$13)*D527^2)</f>
        <v/>
      </c>
      <c r="H528" s="17">
        <f>Описание!$B$9*F528*Описание!$B$7</f>
        <v/>
      </c>
      <c r="I528" s="17">
        <f>Описание!$B$9*G528*Описание!$B$7</f>
        <v/>
      </c>
    </row>
    <row r="529">
      <c r="A529" s="13" t="n">
        <v>39472</v>
      </c>
      <c r="B529" s="14" t="n">
        <v>1.4705</v>
      </c>
      <c r="C529" t="inlineStr">
        <is>
          <t>После</t>
        </is>
      </c>
      <c r="D529" s="15">
        <f>B529/B528-1</f>
        <v/>
      </c>
      <c r="E529" s="16">
        <f>LN(B529/B528)</f>
        <v/>
      </c>
      <c r="F529" s="15">
        <f>_xlfn.STDEV.S(OFFSET(D529,-Описание!$B$12,0,Описание!$B$12,1))</f>
        <v/>
      </c>
      <c r="G529" s="15">
        <f>SQRT(Описание!$B$13*G528^2+(1-Описание!$B$13)*D528^2)</f>
        <v/>
      </c>
      <c r="H529" s="17">
        <f>Описание!$B$9*F529*Описание!$B$7</f>
        <v/>
      </c>
      <c r="I529" s="17">
        <f>Описание!$B$9*G529*Описание!$B$7</f>
        <v/>
      </c>
    </row>
    <row r="530">
      <c r="A530" s="13" t="n">
        <v>39475</v>
      </c>
      <c r="B530" s="14" t="n">
        <v>1.4755</v>
      </c>
      <c r="C530" t="inlineStr">
        <is>
          <t>После</t>
        </is>
      </c>
      <c r="D530" s="15">
        <f>B530/B529-1</f>
        <v/>
      </c>
      <c r="E530" s="16">
        <f>LN(B530/B529)</f>
        <v/>
      </c>
      <c r="F530" s="15">
        <f>_xlfn.STDEV.S(OFFSET(D530,-Описание!$B$12,0,Описание!$B$12,1))</f>
        <v/>
      </c>
      <c r="G530" s="15">
        <f>SQRT(Описание!$B$13*G529^2+(1-Описание!$B$13)*D529^2)</f>
        <v/>
      </c>
      <c r="H530" s="17">
        <f>Описание!$B$9*F530*Описание!$B$7</f>
        <v/>
      </c>
      <c r="I530" s="17">
        <f>Описание!$B$9*G530*Описание!$B$7</f>
        <v/>
      </c>
    </row>
    <row r="531">
      <c r="A531" s="13" t="n">
        <v>39476</v>
      </c>
      <c r="B531" s="14" t="n">
        <v>1.4773</v>
      </c>
      <c r="C531" t="inlineStr">
        <is>
          <t>После</t>
        </is>
      </c>
      <c r="D531" s="15">
        <f>B531/B530-1</f>
        <v/>
      </c>
      <c r="E531" s="16">
        <f>LN(B531/B530)</f>
        <v/>
      </c>
      <c r="F531" s="15">
        <f>_xlfn.STDEV.S(OFFSET(D531,-Описание!$B$12,0,Описание!$B$12,1))</f>
        <v/>
      </c>
      <c r="G531" s="15">
        <f>SQRT(Описание!$B$13*G530^2+(1-Описание!$B$13)*D530^2)</f>
        <v/>
      </c>
      <c r="H531" s="17">
        <f>Описание!$B$9*F531*Описание!$B$7</f>
        <v/>
      </c>
      <c r="I531" s="17">
        <f>Описание!$B$9*G531*Описание!$B$7</f>
        <v/>
      </c>
    </row>
    <row r="532">
      <c r="A532" s="13" t="n">
        <v>39477</v>
      </c>
      <c r="B532" s="14" t="n">
        <v>1.481</v>
      </c>
      <c r="C532" t="inlineStr">
        <is>
          <t>После</t>
        </is>
      </c>
      <c r="D532" s="15">
        <f>B532/B531-1</f>
        <v/>
      </c>
      <c r="E532" s="16">
        <f>LN(B532/B531)</f>
        <v/>
      </c>
      <c r="F532" s="15">
        <f>_xlfn.STDEV.S(OFFSET(D532,-Описание!$B$12,0,Описание!$B$12,1))</f>
        <v/>
      </c>
      <c r="G532" s="15">
        <f>SQRT(Описание!$B$13*G531^2+(1-Описание!$B$13)*D531^2)</f>
        <v/>
      </c>
      <c r="H532" s="17">
        <f>Описание!$B$9*F532*Описание!$B$7</f>
        <v/>
      </c>
      <c r="I532" s="17">
        <f>Описание!$B$9*G532*Описание!$B$7</f>
        <v/>
      </c>
    </row>
    <row r="533">
      <c r="A533" s="13" t="n">
        <v>39478</v>
      </c>
      <c r="B533" s="14" t="n">
        <v>1.487</v>
      </c>
      <c r="C533" t="inlineStr">
        <is>
          <t>После</t>
        </is>
      </c>
      <c r="D533" s="15">
        <f>B533/B532-1</f>
        <v/>
      </c>
      <c r="E533" s="16">
        <f>LN(B533/B532)</f>
        <v/>
      </c>
      <c r="F533" s="15">
        <f>_xlfn.STDEV.S(OFFSET(D533,-Описание!$B$12,0,Описание!$B$12,1))</f>
        <v/>
      </c>
      <c r="G533" s="15">
        <f>SQRT(Описание!$B$13*G532^2+(1-Описание!$B$13)*D532^2)</f>
        <v/>
      </c>
      <c r="H533" s="17">
        <f>Описание!$B$9*F533*Описание!$B$7</f>
        <v/>
      </c>
      <c r="I533" s="17">
        <f>Описание!$B$9*G533*Описание!$B$7</f>
        <v/>
      </c>
    </row>
    <row r="534">
      <c r="A534" s="13" t="n">
        <v>39479</v>
      </c>
      <c r="B534" s="14" t="n">
        <v>1.4889</v>
      </c>
      <c r="C534" t="inlineStr">
        <is>
          <t>После</t>
        </is>
      </c>
      <c r="D534" s="15">
        <f>B534/B533-1</f>
        <v/>
      </c>
      <c r="E534" s="16">
        <f>LN(B534/B533)</f>
        <v/>
      </c>
      <c r="F534" s="15">
        <f>_xlfn.STDEV.S(OFFSET(D534,-Описание!$B$12,0,Описание!$B$12,1))</f>
        <v/>
      </c>
      <c r="G534" s="15">
        <f>SQRT(Описание!$B$13*G533^2+(1-Описание!$B$13)*D533^2)</f>
        <v/>
      </c>
      <c r="H534" s="17">
        <f>Описание!$B$9*F534*Описание!$B$7</f>
        <v/>
      </c>
      <c r="I534" s="17">
        <f>Описание!$B$9*G534*Описание!$B$7</f>
        <v/>
      </c>
    </row>
    <row r="535">
      <c r="A535" s="13" t="n">
        <v>39482</v>
      </c>
      <c r="B535" s="14" t="n">
        <v>1.4829</v>
      </c>
      <c r="C535" t="inlineStr">
        <is>
          <t>После</t>
        </is>
      </c>
      <c r="D535" s="15">
        <f>B535/B534-1</f>
        <v/>
      </c>
      <c r="E535" s="16">
        <f>LN(B535/B534)</f>
        <v/>
      </c>
      <c r="F535" s="15">
        <f>_xlfn.STDEV.S(OFFSET(D535,-Описание!$B$12,0,Описание!$B$12,1))</f>
        <v/>
      </c>
      <c r="G535" s="15">
        <f>SQRT(Описание!$B$13*G534^2+(1-Описание!$B$13)*D534^2)</f>
        <v/>
      </c>
      <c r="H535" s="17">
        <f>Описание!$B$9*F535*Описание!$B$7</f>
        <v/>
      </c>
      <c r="I535" s="17">
        <f>Описание!$B$9*G535*Описание!$B$7</f>
        <v/>
      </c>
    </row>
    <row r="536">
      <c r="A536" s="13" t="n">
        <v>39483</v>
      </c>
      <c r="B536" s="14" t="n">
        <v>1.4688</v>
      </c>
      <c r="C536" t="inlineStr">
        <is>
          <t>После</t>
        </is>
      </c>
      <c r="D536" s="15">
        <f>B536/B535-1</f>
        <v/>
      </c>
      <c r="E536" s="16">
        <f>LN(B536/B535)</f>
        <v/>
      </c>
      <c r="F536" s="15">
        <f>_xlfn.STDEV.S(OFFSET(D536,-Описание!$B$12,0,Описание!$B$12,1))</f>
        <v/>
      </c>
      <c r="G536" s="15">
        <f>SQRT(Описание!$B$13*G535^2+(1-Описание!$B$13)*D535^2)</f>
        <v/>
      </c>
      <c r="H536" s="17">
        <f>Описание!$B$9*F536*Описание!$B$7</f>
        <v/>
      </c>
      <c r="I536" s="17">
        <f>Описание!$B$9*G536*Описание!$B$7</f>
        <v/>
      </c>
    </row>
    <row r="537">
      <c r="A537" s="13" t="n">
        <v>39484</v>
      </c>
      <c r="B537" s="14" t="n">
        <v>1.4621</v>
      </c>
      <c r="C537" t="inlineStr">
        <is>
          <t>После</t>
        </is>
      </c>
      <c r="D537" s="15">
        <f>B537/B536-1</f>
        <v/>
      </c>
      <c r="E537" s="16">
        <f>LN(B537/B536)</f>
        <v/>
      </c>
      <c r="F537" s="15">
        <f>_xlfn.STDEV.S(OFFSET(D537,-Описание!$B$12,0,Описание!$B$12,1))</f>
        <v/>
      </c>
      <c r="G537" s="15">
        <f>SQRT(Описание!$B$13*G536^2+(1-Описание!$B$13)*D536^2)</f>
        <v/>
      </c>
      <c r="H537" s="17">
        <f>Описание!$B$9*F537*Описание!$B$7</f>
        <v/>
      </c>
      <c r="I537" s="17">
        <f>Описание!$B$9*G537*Описание!$B$7</f>
        <v/>
      </c>
    </row>
    <row r="538">
      <c r="A538" s="13" t="n">
        <v>39485</v>
      </c>
      <c r="B538" s="14" t="n">
        <v>1.4569</v>
      </c>
      <c r="C538" t="inlineStr">
        <is>
          <t>После</t>
        </is>
      </c>
      <c r="D538" s="15">
        <f>B538/B537-1</f>
        <v/>
      </c>
      <c r="E538" s="16">
        <f>LN(B538/B537)</f>
        <v/>
      </c>
      <c r="F538" s="15">
        <f>_xlfn.STDEV.S(OFFSET(D538,-Описание!$B$12,0,Описание!$B$12,1))</f>
        <v/>
      </c>
      <c r="G538" s="15">
        <f>SQRT(Описание!$B$13*G537^2+(1-Описание!$B$13)*D537^2)</f>
        <v/>
      </c>
      <c r="H538" s="17">
        <f>Описание!$B$9*F538*Описание!$B$7</f>
        <v/>
      </c>
      <c r="I538" s="17">
        <f>Описание!$B$9*G538*Описание!$B$7</f>
        <v/>
      </c>
    </row>
    <row r="539">
      <c r="A539" s="13" t="n">
        <v>39486</v>
      </c>
      <c r="B539" s="14" t="n">
        <v>1.4513</v>
      </c>
      <c r="C539" t="inlineStr">
        <is>
          <t>После</t>
        </is>
      </c>
      <c r="D539" s="15">
        <f>B539/B538-1</f>
        <v/>
      </c>
      <c r="E539" s="16">
        <f>LN(B539/B538)</f>
        <v/>
      </c>
      <c r="F539" s="15">
        <f>_xlfn.STDEV.S(OFFSET(D539,-Описание!$B$12,0,Описание!$B$12,1))</f>
        <v/>
      </c>
      <c r="G539" s="15">
        <f>SQRT(Описание!$B$13*G538^2+(1-Описание!$B$13)*D538^2)</f>
        <v/>
      </c>
      <c r="H539" s="17">
        <f>Описание!$B$9*F539*Описание!$B$7</f>
        <v/>
      </c>
      <c r="I539" s="17">
        <f>Описание!$B$9*G539*Описание!$B$7</f>
        <v/>
      </c>
    </row>
    <row r="540">
      <c r="A540" s="13" t="n">
        <v>39489</v>
      </c>
      <c r="B540" s="14" t="n">
        <v>1.4542</v>
      </c>
      <c r="C540" t="inlineStr">
        <is>
          <t>После</t>
        </is>
      </c>
      <c r="D540" s="15">
        <f>B540/B539-1</f>
        <v/>
      </c>
      <c r="E540" s="16">
        <f>LN(B540/B539)</f>
        <v/>
      </c>
      <c r="F540" s="15">
        <f>_xlfn.STDEV.S(OFFSET(D540,-Описание!$B$12,0,Описание!$B$12,1))</f>
        <v/>
      </c>
      <c r="G540" s="15">
        <f>SQRT(Описание!$B$13*G539^2+(1-Описание!$B$13)*D539^2)</f>
        <v/>
      </c>
      <c r="H540" s="17">
        <f>Описание!$B$9*F540*Описание!$B$7</f>
        <v/>
      </c>
      <c r="I540" s="17">
        <f>Описание!$B$9*G540*Описание!$B$7</f>
        <v/>
      </c>
    </row>
    <row r="541">
      <c r="A541" s="13" t="n">
        <v>39490</v>
      </c>
      <c r="B541" s="14" t="n">
        <v>1.4538</v>
      </c>
      <c r="C541" t="inlineStr">
        <is>
          <t>После</t>
        </is>
      </c>
      <c r="D541" s="15">
        <f>B541/B540-1</f>
        <v/>
      </c>
      <c r="E541" s="16">
        <f>LN(B541/B540)</f>
        <v/>
      </c>
      <c r="F541" s="15">
        <f>_xlfn.STDEV.S(OFFSET(D541,-Описание!$B$12,0,Описание!$B$12,1))</f>
        <v/>
      </c>
      <c r="G541" s="15">
        <f>SQRT(Описание!$B$13*G540^2+(1-Описание!$B$13)*D540^2)</f>
        <v/>
      </c>
      <c r="H541" s="17">
        <f>Описание!$B$9*F541*Описание!$B$7</f>
        <v/>
      </c>
      <c r="I541" s="17">
        <f>Описание!$B$9*G541*Описание!$B$7</f>
        <v/>
      </c>
    </row>
    <row r="542">
      <c r="A542" s="13" t="n">
        <v>39491</v>
      </c>
      <c r="B542" s="14" t="n">
        <v>1.4586</v>
      </c>
      <c r="C542" t="inlineStr">
        <is>
          <t>После</t>
        </is>
      </c>
      <c r="D542" s="15">
        <f>B542/B541-1</f>
        <v/>
      </c>
      <c r="E542" s="16">
        <f>LN(B542/B541)</f>
        <v/>
      </c>
      <c r="F542" s="15">
        <f>_xlfn.STDEV.S(OFFSET(D542,-Описание!$B$12,0,Описание!$B$12,1))</f>
        <v/>
      </c>
      <c r="G542" s="15">
        <f>SQRT(Описание!$B$13*G541^2+(1-Описание!$B$13)*D541^2)</f>
        <v/>
      </c>
      <c r="H542" s="17">
        <f>Описание!$B$9*F542*Описание!$B$7</f>
        <v/>
      </c>
      <c r="I542" s="17">
        <f>Описание!$B$9*G542*Описание!$B$7</f>
        <v/>
      </c>
    </row>
    <row r="543">
      <c r="A543" s="13" t="n">
        <v>39492</v>
      </c>
      <c r="B543" s="14" t="n">
        <v>1.4626</v>
      </c>
      <c r="C543" t="inlineStr">
        <is>
          <t>После</t>
        </is>
      </c>
      <c r="D543" s="15">
        <f>B543/B542-1</f>
        <v/>
      </c>
      <c r="E543" s="16">
        <f>LN(B543/B542)</f>
        <v/>
      </c>
      <c r="F543" s="15">
        <f>_xlfn.STDEV.S(OFFSET(D543,-Описание!$B$12,0,Описание!$B$12,1))</f>
        <v/>
      </c>
      <c r="G543" s="15">
        <f>SQRT(Описание!$B$13*G542^2+(1-Описание!$B$13)*D542^2)</f>
        <v/>
      </c>
      <c r="H543" s="17">
        <f>Описание!$B$9*F543*Описание!$B$7</f>
        <v/>
      </c>
      <c r="I543" s="17">
        <f>Описание!$B$9*G543*Описание!$B$7</f>
        <v/>
      </c>
    </row>
    <row r="544">
      <c r="A544" s="13" t="n">
        <v>39493</v>
      </c>
      <c r="B544" s="14" t="n">
        <v>1.4674</v>
      </c>
      <c r="C544" t="inlineStr">
        <is>
          <t>После</t>
        </is>
      </c>
      <c r="D544" s="15">
        <f>B544/B543-1</f>
        <v/>
      </c>
      <c r="E544" s="16">
        <f>LN(B544/B543)</f>
        <v/>
      </c>
      <c r="F544" s="15">
        <f>_xlfn.STDEV.S(OFFSET(D544,-Описание!$B$12,0,Описание!$B$12,1))</f>
        <v/>
      </c>
      <c r="G544" s="15">
        <f>SQRT(Описание!$B$13*G543^2+(1-Описание!$B$13)*D543^2)</f>
        <v/>
      </c>
      <c r="H544" s="17">
        <f>Описание!$B$9*F544*Описание!$B$7</f>
        <v/>
      </c>
      <c r="I544" s="17">
        <f>Описание!$B$9*G544*Описание!$B$7</f>
        <v/>
      </c>
    </row>
    <row r="545">
      <c r="A545" s="13" t="n">
        <v>39496</v>
      </c>
      <c r="B545" s="14" t="n">
        <v>1.4636</v>
      </c>
      <c r="C545" t="inlineStr">
        <is>
          <t>После</t>
        </is>
      </c>
      <c r="D545" s="15">
        <f>B545/B544-1</f>
        <v/>
      </c>
      <c r="E545" s="16">
        <f>LN(B545/B544)</f>
        <v/>
      </c>
      <c r="F545" s="15">
        <f>_xlfn.STDEV.S(OFFSET(D545,-Описание!$B$12,0,Описание!$B$12,1))</f>
        <v/>
      </c>
      <c r="G545" s="15">
        <f>SQRT(Описание!$B$13*G544^2+(1-Описание!$B$13)*D544^2)</f>
        <v/>
      </c>
      <c r="H545" s="17">
        <f>Описание!$B$9*F545*Описание!$B$7</f>
        <v/>
      </c>
      <c r="I545" s="17">
        <f>Описание!$B$9*G545*Описание!$B$7</f>
        <v/>
      </c>
    </row>
    <row r="546">
      <c r="A546" s="13" t="n">
        <v>39497</v>
      </c>
      <c r="B546" s="14" t="n">
        <v>1.4742</v>
      </c>
      <c r="C546" t="inlineStr">
        <is>
          <t>После</t>
        </is>
      </c>
      <c r="D546" s="15">
        <f>B546/B545-1</f>
        <v/>
      </c>
      <c r="E546" s="16">
        <f>LN(B546/B545)</f>
        <v/>
      </c>
      <c r="F546" s="15">
        <f>_xlfn.STDEV.S(OFFSET(D546,-Описание!$B$12,0,Описание!$B$12,1))</f>
        <v/>
      </c>
      <c r="G546" s="15">
        <f>SQRT(Описание!$B$13*G545^2+(1-Описание!$B$13)*D545^2)</f>
        <v/>
      </c>
      <c r="H546" s="17">
        <f>Описание!$B$9*F546*Описание!$B$7</f>
        <v/>
      </c>
      <c r="I546" s="17">
        <f>Описание!$B$9*G546*Описание!$B$7</f>
        <v/>
      </c>
    </row>
    <row r="547">
      <c r="A547" s="13" t="n">
        <v>39498</v>
      </c>
      <c r="B547" s="14" t="n">
        <v>1.4656</v>
      </c>
      <c r="C547" t="inlineStr">
        <is>
          <t>После</t>
        </is>
      </c>
      <c r="D547" s="15">
        <f>B547/B546-1</f>
        <v/>
      </c>
      <c r="E547" s="16">
        <f>LN(B547/B546)</f>
        <v/>
      </c>
      <c r="F547" s="15">
        <f>_xlfn.STDEV.S(OFFSET(D547,-Описание!$B$12,0,Описание!$B$12,1))</f>
        <v/>
      </c>
      <c r="G547" s="15">
        <f>SQRT(Описание!$B$13*G546^2+(1-Описание!$B$13)*D546^2)</f>
        <v/>
      </c>
      <c r="H547" s="17">
        <f>Описание!$B$9*F547*Описание!$B$7</f>
        <v/>
      </c>
      <c r="I547" s="17">
        <f>Описание!$B$9*G547*Описание!$B$7</f>
        <v/>
      </c>
    </row>
    <row r="548">
      <c r="A548" s="13" t="n">
        <v>39499</v>
      </c>
      <c r="B548" s="14" t="n">
        <v>1.4736</v>
      </c>
      <c r="C548" t="inlineStr">
        <is>
          <t>После</t>
        </is>
      </c>
      <c r="D548" s="15">
        <f>B548/B547-1</f>
        <v/>
      </c>
      <c r="E548" s="16">
        <f>LN(B548/B547)</f>
        <v/>
      </c>
      <c r="F548" s="15">
        <f>_xlfn.STDEV.S(OFFSET(D548,-Описание!$B$12,0,Описание!$B$12,1))</f>
        <v/>
      </c>
      <c r="G548" s="15">
        <f>SQRT(Описание!$B$13*G547^2+(1-Описание!$B$13)*D547^2)</f>
        <v/>
      </c>
      <c r="H548" s="17">
        <f>Описание!$B$9*F548*Описание!$B$7</f>
        <v/>
      </c>
      <c r="I548" s="17">
        <f>Описание!$B$9*G548*Описание!$B$7</f>
        <v/>
      </c>
    </row>
    <row r="549">
      <c r="A549" s="13" t="n">
        <v>39500</v>
      </c>
      <c r="B549" s="14" t="n">
        <v>1.4848</v>
      </c>
      <c r="C549" t="inlineStr">
        <is>
          <t>После</t>
        </is>
      </c>
      <c r="D549" s="15">
        <f>B549/B548-1</f>
        <v/>
      </c>
      <c r="E549" s="16">
        <f>LN(B549/B548)</f>
        <v/>
      </c>
      <c r="F549" s="15">
        <f>_xlfn.STDEV.S(OFFSET(D549,-Описание!$B$12,0,Описание!$B$12,1))</f>
        <v/>
      </c>
      <c r="G549" s="15">
        <f>SQRT(Описание!$B$13*G548^2+(1-Описание!$B$13)*D548^2)</f>
        <v/>
      </c>
      <c r="H549" s="17">
        <f>Описание!$B$9*F549*Описание!$B$7</f>
        <v/>
      </c>
      <c r="I549" s="17">
        <f>Описание!$B$9*G549*Описание!$B$7</f>
        <v/>
      </c>
    </row>
    <row r="550">
      <c r="A550" s="13" t="n">
        <v>39503</v>
      </c>
      <c r="B550" s="14" t="n">
        <v>1.4817</v>
      </c>
      <c r="C550" t="inlineStr">
        <is>
          <t>После</t>
        </is>
      </c>
      <c r="D550" s="15">
        <f>B550/B549-1</f>
        <v/>
      </c>
      <c r="E550" s="16">
        <f>LN(B550/B549)</f>
        <v/>
      </c>
      <c r="F550" s="15">
        <f>_xlfn.STDEV.S(OFFSET(D550,-Описание!$B$12,0,Описание!$B$12,1))</f>
        <v/>
      </c>
      <c r="G550" s="15">
        <f>SQRT(Описание!$B$13*G549^2+(1-Описание!$B$13)*D549^2)</f>
        <v/>
      </c>
      <c r="H550" s="17">
        <f>Описание!$B$9*F550*Описание!$B$7</f>
        <v/>
      </c>
      <c r="I550" s="17">
        <f>Описание!$B$9*G550*Описание!$B$7</f>
        <v/>
      </c>
    </row>
    <row r="551">
      <c r="A551" s="13" t="n">
        <v>39504</v>
      </c>
      <c r="B551" s="14" t="n">
        <v>1.4874</v>
      </c>
      <c r="C551" t="inlineStr">
        <is>
          <t>После</t>
        </is>
      </c>
      <c r="D551" s="15">
        <f>B551/B550-1</f>
        <v/>
      </c>
      <c r="E551" s="16">
        <f>LN(B551/B550)</f>
        <v/>
      </c>
      <c r="F551" s="15">
        <f>_xlfn.STDEV.S(OFFSET(D551,-Описание!$B$12,0,Описание!$B$12,1))</f>
        <v/>
      </c>
      <c r="G551" s="15">
        <f>SQRT(Описание!$B$13*G550^2+(1-Описание!$B$13)*D550^2)</f>
        <v/>
      </c>
      <c r="H551" s="17">
        <f>Описание!$B$9*F551*Описание!$B$7</f>
        <v/>
      </c>
      <c r="I551" s="17">
        <f>Описание!$B$9*G551*Описание!$B$7</f>
        <v/>
      </c>
    </row>
    <row r="552">
      <c r="A552" s="13" t="n">
        <v>39505</v>
      </c>
      <c r="B552" s="14" t="n">
        <v>1.5044</v>
      </c>
      <c r="C552" t="inlineStr">
        <is>
          <t>После</t>
        </is>
      </c>
      <c r="D552" s="15">
        <f>B552/B551-1</f>
        <v/>
      </c>
      <c r="E552" s="16">
        <f>LN(B552/B551)</f>
        <v/>
      </c>
      <c r="F552" s="15">
        <f>_xlfn.STDEV.S(OFFSET(D552,-Описание!$B$12,0,Описание!$B$12,1))</f>
        <v/>
      </c>
      <c r="G552" s="15">
        <f>SQRT(Описание!$B$13*G551^2+(1-Описание!$B$13)*D551^2)</f>
        <v/>
      </c>
      <c r="H552" s="17">
        <f>Описание!$B$9*F552*Описание!$B$7</f>
        <v/>
      </c>
      <c r="I552" s="17">
        <f>Описание!$B$9*G552*Описание!$B$7</f>
        <v/>
      </c>
    </row>
    <row r="553">
      <c r="A553" s="13" t="n">
        <v>39506</v>
      </c>
      <c r="B553" s="14" t="n">
        <v>1.5121</v>
      </c>
      <c r="C553" t="inlineStr">
        <is>
          <t>После</t>
        </is>
      </c>
      <c r="D553" s="15">
        <f>B553/B552-1</f>
        <v/>
      </c>
      <c r="E553" s="16">
        <f>LN(B553/B552)</f>
        <v/>
      </c>
      <c r="F553" s="15">
        <f>_xlfn.STDEV.S(OFFSET(D553,-Описание!$B$12,0,Описание!$B$12,1))</f>
        <v/>
      </c>
      <c r="G553" s="15">
        <f>SQRT(Описание!$B$13*G552^2+(1-Описание!$B$13)*D552^2)</f>
        <v/>
      </c>
      <c r="H553" s="17">
        <f>Описание!$B$9*F553*Описание!$B$7</f>
        <v/>
      </c>
      <c r="I553" s="17">
        <f>Описание!$B$9*G553*Описание!$B$7</f>
        <v/>
      </c>
    </row>
    <row r="554">
      <c r="A554" s="13" t="n">
        <v>39507</v>
      </c>
      <c r="B554" s="14" t="n">
        <v>1.5167</v>
      </c>
      <c r="C554" t="inlineStr">
        <is>
          <t>После</t>
        </is>
      </c>
      <c r="D554" s="15">
        <f>B554/B553-1</f>
        <v/>
      </c>
      <c r="E554" s="16">
        <f>LN(B554/B553)</f>
        <v/>
      </c>
      <c r="F554" s="15">
        <f>_xlfn.STDEV.S(OFFSET(D554,-Описание!$B$12,0,Описание!$B$12,1))</f>
        <v/>
      </c>
      <c r="G554" s="15">
        <f>SQRT(Описание!$B$13*G553^2+(1-Описание!$B$13)*D553^2)</f>
        <v/>
      </c>
      <c r="H554" s="17">
        <f>Описание!$B$9*F554*Описание!$B$7</f>
        <v/>
      </c>
      <c r="I554" s="17">
        <f>Описание!$B$9*G554*Описание!$B$7</f>
        <v/>
      </c>
    </row>
    <row r="555">
      <c r="A555" s="13" t="n">
        <v>39510</v>
      </c>
      <c r="B555" s="14" t="n">
        <v>1.5203</v>
      </c>
      <c r="C555" t="inlineStr">
        <is>
          <t>После</t>
        </is>
      </c>
      <c r="D555" s="15">
        <f>B555/B554-1</f>
        <v/>
      </c>
      <c r="E555" s="16">
        <f>LN(B555/B554)</f>
        <v/>
      </c>
      <c r="F555" s="15">
        <f>_xlfn.STDEV.S(OFFSET(D555,-Описание!$B$12,0,Описание!$B$12,1))</f>
        <v/>
      </c>
      <c r="G555" s="15">
        <f>SQRT(Описание!$B$13*G554^2+(1-Описание!$B$13)*D554^2)</f>
        <v/>
      </c>
      <c r="H555" s="17">
        <f>Описание!$B$9*F555*Описание!$B$7</f>
        <v/>
      </c>
      <c r="I555" s="17">
        <f>Описание!$B$9*G555*Описание!$B$7</f>
        <v/>
      </c>
    </row>
    <row r="556">
      <c r="A556" s="13" t="n">
        <v>39511</v>
      </c>
      <c r="B556" s="14" t="n">
        <v>1.5206</v>
      </c>
      <c r="C556" t="inlineStr">
        <is>
          <t>После</t>
        </is>
      </c>
      <c r="D556" s="15">
        <f>B556/B555-1</f>
        <v/>
      </c>
      <c r="E556" s="16">
        <f>LN(B556/B555)</f>
        <v/>
      </c>
      <c r="F556" s="15">
        <f>_xlfn.STDEV.S(OFFSET(D556,-Описание!$B$12,0,Описание!$B$12,1))</f>
        <v/>
      </c>
      <c r="G556" s="15">
        <f>SQRT(Описание!$B$13*G555^2+(1-Описание!$B$13)*D555^2)</f>
        <v/>
      </c>
      <c r="H556" s="17">
        <f>Описание!$B$9*F556*Описание!$B$7</f>
        <v/>
      </c>
      <c r="I556" s="17">
        <f>Описание!$B$9*G556*Описание!$B$7</f>
        <v/>
      </c>
    </row>
    <row r="557">
      <c r="A557" s="13" t="n">
        <v>39512</v>
      </c>
      <c r="B557" s="14" t="n">
        <v>1.5196</v>
      </c>
      <c r="C557" t="inlineStr">
        <is>
          <t>После</t>
        </is>
      </c>
      <c r="D557" s="15">
        <f>B557/B556-1</f>
        <v/>
      </c>
      <c r="E557" s="16">
        <f>LN(B557/B556)</f>
        <v/>
      </c>
      <c r="F557" s="15">
        <f>_xlfn.STDEV.S(OFFSET(D557,-Описание!$B$12,0,Описание!$B$12,1))</f>
        <v/>
      </c>
      <c r="G557" s="15">
        <f>SQRT(Описание!$B$13*G556^2+(1-Описание!$B$13)*D556^2)</f>
        <v/>
      </c>
      <c r="H557" s="17">
        <f>Описание!$B$9*F557*Описание!$B$7</f>
        <v/>
      </c>
      <c r="I557" s="17">
        <f>Описание!$B$9*G557*Описание!$B$7</f>
        <v/>
      </c>
    </row>
    <row r="558">
      <c r="A558" s="13" t="n">
        <v>39513</v>
      </c>
      <c r="B558" s="14" t="n">
        <v>1.5319</v>
      </c>
      <c r="C558" t="inlineStr">
        <is>
          <t>После</t>
        </is>
      </c>
      <c r="D558" s="15">
        <f>B558/B557-1</f>
        <v/>
      </c>
      <c r="E558" s="16">
        <f>LN(B558/B557)</f>
        <v/>
      </c>
      <c r="F558" s="15">
        <f>_xlfn.STDEV.S(OFFSET(D558,-Описание!$B$12,0,Описание!$B$12,1))</f>
        <v/>
      </c>
      <c r="G558" s="15">
        <f>SQRT(Описание!$B$13*G557^2+(1-Описание!$B$13)*D557^2)</f>
        <v/>
      </c>
      <c r="H558" s="17">
        <f>Описание!$B$9*F558*Описание!$B$7</f>
        <v/>
      </c>
      <c r="I558" s="17">
        <f>Описание!$B$9*G558*Описание!$B$7</f>
        <v/>
      </c>
    </row>
    <row r="559">
      <c r="A559" s="13" t="n">
        <v>39514</v>
      </c>
      <c r="B559" s="14" t="n">
        <v>1.5417</v>
      </c>
      <c r="C559" t="inlineStr">
        <is>
          <t>После</t>
        </is>
      </c>
      <c r="D559" s="15">
        <f>B559/B558-1</f>
        <v/>
      </c>
      <c r="E559" s="16">
        <f>LN(B559/B558)</f>
        <v/>
      </c>
      <c r="F559" s="15">
        <f>_xlfn.STDEV.S(OFFSET(D559,-Описание!$B$12,0,Описание!$B$12,1))</f>
        <v/>
      </c>
      <c r="G559" s="15">
        <f>SQRT(Описание!$B$13*G558^2+(1-Описание!$B$13)*D558^2)</f>
        <v/>
      </c>
      <c r="H559" s="17">
        <f>Описание!$B$9*F559*Описание!$B$7</f>
        <v/>
      </c>
      <c r="I559" s="17">
        <f>Описание!$B$9*G559*Описание!$B$7</f>
        <v/>
      </c>
    </row>
    <row r="560">
      <c r="A560" s="13" t="n">
        <v>39517</v>
      </c>
      <c r="B560" s="14" t="n">
        <v>1.534</v>
      </c>
      <c r="C560" t="inlineStr">
        <is>
          <t>После</t>
        </is>
      </c>
      <c r="D560" s="15">
        <f>B560/B559-1</f>
        <v/>
      </c>
      <c r="E560" s="16">
        <f>LN(B560/B559)</f>
        <v/>
      </c>
      <c r="F560" s="15">
        <f>_xlfn.STDEV.S(OFFSET(D560,-Описание!$B$12,0,Описание!$B$12,1))</f>
        <v/>
      </c>
      <c r="G560" s="15">
        <f>SQRT(Описание!$B$13*G559^2+(1-Описание!$B$13)*D559^2)</f>
        <v/>
      </c>
      <c r="H560" s="17">
        <f>Описание!$B$9*F560*Описание!$B$7</f>
        <v/>
      </c>
      <c r="I560" s="17">
        <f>Описание!$B$9*G560*Описание!$B$7</f>
        <v/>
      </c>
    </row>
    <row r="561">
      <c r="A561" s="13" t="n">
        <v>39518</v>
      </c>
      <c r="B561" s="14" t="n">
        <v>1.5379</v>
      </c>
      <c r="C561" t="inlineStr">
        <is>
          <t>После</t>
        </is>
      </c>
      <c r="D561" s="15">
        <f>B561/B560-1</f>
        <v/>
      </c>
      <c r="E561" s="16">
        <f>LN(B561/B560)</f>
        <v/>
      </c>
      <c r="F561" s="15">
        <f>_xlfn.STDEV.S(OFFSET(D561,-Описание!$B$12,0,Описание!$B$12,1))</f>
        <v/>
      </c>
      <c r="G561" s="15">
        <f>SQRT(Описание!$B$13*G560^2+(1-Описание!$B$13)*D560^2)</f>
        <v/>
      </c>
      <c r="H561" s="17">
        <f>Описание!$B$9*F561*Описание!$B$7</f>
        <v/>
      </c>
      <c r="I561" s="17">
        <f>Описание!$B$9*G561*Описание!$B$7</f>
        <v/>
      </c>
    </row>
    <row r="562">
      <c r="A562" s="13" t="n">
        <v>39519</v>
      </c>
      <c r="B562" s="14" t="n">
        <v>1.5477</v>
      </c>
      <c r="C562" t="inlineStr">
        <is>
          <t>После</t>
        </is>
      </c>
      <c r="D562" s="15">
        <f>B562/B561-1</f>
        <v/>
      </c>
      <c r="E562" s="16">
        <f>LN(B562/B561)</f>
        <v/>
      </c>
      <c r="F562" s="15">
        <f>_xlfn.STDEV.S(OFFSET(D562,-Описание!$B$12,0,Описание!$B$12,1))</f>
        <v/>
      </c>
      <c r="G562" s="15">
        <f>SQRT(Описание!$B$13*G561^2+(1-Описание!$B$13)*D561^2)</f>
        <v/>
      </c>
      <c r="H562" s="17">
        <f>Описание!$B$9*F562*Описание!$B$7</f>
        <v/>
      </c>
      <c r="I562" s="17">
        <f>Описание!$B$9*G562*Описание!$B$7</f>
        <v/>
      </c>
    </row>
    <row r="563">
      <c r="A563" s="13" t="n">
        <v>39520</v>
      </c>
      <c r="B563" s="14" t="n">
        <v>1.5577</v>
      </c>
      <c r="C563" t="inlineStr">
        <is>
          <t>После</t>
        </is>
      </c>
      <c r="D563" s="15">
        <f>B563/B562-1</f>
        <v/>
      </c>
      <c r="E563" s="16">
        <f>LN(B563/B562)</f>
        <v/>
      </c>
      <c r="F563" s="15">
        <f>_xlfn.STDEV.S(OFFSET(D563,-Описание!$B$12,0,Описание!$B$12,1))</f>
        <v/>
      </c>
      <c r="G563" s="15">
        <f>SQRT(Описание!$B$13*G562^2+(1-Описание!$B$13)*D562^2)</f>
        <v/>
      </c>
      <c r="H563" s="17">
        <f>Описание!$B$9*F563*Описание!$B$7</f>
        <v/>
      </c>
      <c r="I563" s="17">
        <f>Описание!$B$9*G563*Описание!$B$7</f>
        <v/>
      </c>
    </row>
    <row r="564">
      <c r="A564" s="13" t="n">
        <v>39521</v>
      </c>
      <c r="B564" s="14" t="n">
        <v>1.5561</v>
      </c>
      <c r="C564" t="inlineStr">
        <is>
          <t>После</t>
        </is>
      </c>
      <c r="D564" s="15">
        <f>B564/B563-1</f>
        <v/>
      </c>
      <c r="E564" s="16">
        <f>LN(B564/B563)</f>
        <v/>
      </c>
      <c r="F564" s="15">
        <f>_xlfn.STDEV.S(OFFSET(D564,-Описание!$B$12,0,Описание!$B$12,1))</f>
        <v/>
      </c>
      <c r="G564" s="15">
        <f>SQRT(Описание!$B$13*G563^2+(1-Описание!$B$13)*D563^2)</f>
        <v/>
      </c>
      <c r="H564" s="17">
        <f>Описание!$B$9*F564*Описание!$B$7</f>
        <v/>
      </c>
      <c r="I564" s="17">
        <f>Описание!$B$9*G564*Описание!$B$7</f>
        <v/>
      </c>
    </row>
    <row r="565">
      <c r="A565" s="13" t="n">
        <v>39524</v>
      </c>
      <c r="B565" s="14" t="n">
        <v>1.577</v>
      </c>
      <c r="C565" t="inlineStr">
        <is>
          <t>После</t>
        </is>
      </c>
      <c r="D565" s="15">
        <f>B565/B564-1</f>
        <v/>
      </c>
      <c r="E565" s="16">
        <f>LN(B565/B564)</f>
        <v/>
      </c>
      <c r="F565" s="15">
        <f>_xlfn.STDEV.S(OFFSET(D565,-Описание!$B$12,0,Описание!$B$12,1))</f>
        <v/>
      </c>
      <c r="G565" s="15">
        <f>SQRT(Описание!$B$13*G564^2+(1-Описание!$B$13)*D564^2)</f>
        <v/>
      </c>
      <c r="H565" s="17">
        <f>Описание!$B$9*F565*Описание!$B$7</f>
        <v/>
      </c>
      <c r="I565" s="17">
        <f>Описание!$B$9*G565*Описание!$B$7</f>
        <v/>
      </c>
    </row>
    <row r="566">
      <c r="A566" s="13" t="n">
        <v>39525</v>
      </c>
      <c r="B566" s="14" t="n">
        <v>1.5771</v>
      </c>
      <c r="C566" t="inlineStr">
        <is>
          <t>После</t>
        </is>
      </c>
      <c r="D566" s="15">
        <f>B566/B565-1</f>
        <v/>
      </c>
      <c r="E566" s="16">
        <f>LN(B566/B565)</f>
        <v/>
      </c>
      <c r="F566" s="15">
        <f>_xlfn.STDEV.S(OFFSET(D566,-Описание!$B$12,0,Описание!$B$12,1))</f>
        <v/>
      </c>
      <c r="G566" s="15">
        <f>SQRT(Описание!$B$13*G565^2+(1-Описание!$B$13)*D565^2)</f>
        <v/>
      </c>
      <c r="H566" s="17">
        <f>Описание!$B$9*F566*Описание!$B$7</f>
        <v/>
      </c>
      <c r="I566" s="17">
        <f>Описание!$B$9*G566*Описание!$B$7</f>
        <v/>
      </c>
    </row>
    <row r="567">
      <c r="A567" s="13" t="n">
        <v>39526</v>
      </c>
      <c r="B567" s="14" t="n">
        <v>1.5692</v>
      </c>
      <c r="C567" t="inlineStr">
        <is>
          <t>После</t>
        </is>
      </c>
      <c r="D567" s="15">
        <f>B567/B566-1</f>
        <v/>
      </c>
      <c r="E567" s="16">
        <f>LN(B567/B566)</f>
        <v/>
      </c>
      <c r="F567" s="15">
        <f>_xlfn.STDEV.S(OFFSET(D567,-Описание!$B$12,0,Описание!$B$12,1))</f>
        <v/>
      </c>
      <c r="G567" s="15">
        <f>SQRT(Описание!$B$13*G566^2+(1-Описание!$B$13)*D566^2)</f>
        <v/>
      </c>
      <c r="H567" s="17">
        <f>Описание!$B$9*F567*Описание!$B$7</f>
        <v/>
      </c>
      <c r="I567" s="17">
        <f>Описание!$B$9*G567*Описание!$B$7</f>
        <v/>
      </c>
    </row>
    <row r="568">
      <c r="A568" s="13" t="n">
        <v>39527</v>
      </c>
      <c r="B568" s="14" t="n">
        <v>1.5423</v>
      </c>
      <c r="C568" t="inlineStr">
        <is>
          <t>После</t>
        </is>
      </c>
      <c r="D568" s="15">
        <f>B568/B567-1</f>
        <v/>
      </c>
      <c r="E568" s="16">
        <f>LN(B568/B567)</f>
        <v/>
      </c>
      <c r="F568" s="15">
        <f>_xlfn.STDEV.S(OFFSET(D568,-Описание!$B$12,0,Описание!$B$12,1))</f>
        <v/>
      </c>
      <c r="G568" s="15">
        <f>SQRT(Описание!$B$13*G567^2+(1-Описание!$B$13)*D567^2)</f>
        <v/>
      </c>
      <c r="H568" s="17">
        <f>Описание!$B$9*F568*Описание!$B$7</f>
        <v/>
      </c>
      <c r="I568" s="17">
        <f>Описание!$B$9*G568*Описание!$B$7</f>
        <v/>
      </c>
    </row>
    <row r="569">
      <c r="A569" s="13" t="n">
        <v>39532</v>
      </c>
      <c r="B569" s="14" t="n">
        <v>1.5569</v>
      </c>
      <c r="C569" t="inlineStr">
        <is>
          <t>После</t>
        </is>
      </c>
      <c r="D569" s="15">
        <f>B569/B568-1</f>
        <v/>
      </c>
      <c r="E569" s="16">
        <f>LN(B569/B568)</f>
        <v/>
      </c>
      <c r="F569" s="15">
        <f>_xlfn.STDEV.S(OFFSET(D569,-Описание!$B$12,0,Описание!$B$12,1))</f>
        <v/>
      </c>
      <c r="G569" s="15">
        <f>SQRT(Описание!$B$13*G568^2+(1-Описание!$B$13)*D568^2)</f>
        <v/>
      </c>
      <c r="H569" s="17">
        <f>Описание!$B$9*F569*Описание!$B$7</f>
        <v/>
      </c>
      <c r="I569" s="17">
        <f>Описание!$B$9*G569*Описание!$B$7</f>
        <v/>
      </c>
    </row>
    <row r="570">
      <c r="A570" s="13" t="n">
        <v>39533</v>
      </c>
      <c r="B570" s="14" t="n">
        <v>1.571</v>
      </c>
      <c r="C570" t="inlineStr">
        <is>
          <t>После</t>
        </is>
      </c>
      <c r="D570" s="15">
        <f>B570/B569-1</f>
        <v/>
      </c>
      <c r="E570" s="16">
        <f>LN(B570/B569)</f>
        <v/>
      </c>
      <c r="F570" s="15">
        <f>_xlfn.STDEV.S(OFFSET(D570,-Описание!$B$12,0,Описание!$B$12,1))</f>
        <v/>
      </c>
      <c r="G570" s="15">
        <f>SQRT(Описание!$B$13*G569^2+(1-Описание!$B$13)*D569^2)</f>
        <v/>
      </c>
      <c r="H570" s="17">
        <f>Описание!$B$9*F570*Описание!$B$7</f>
        <v/>
      </c>
      <c r="I570" s="17">
        <f>Описание!$B$9*G570*Описание!$B$7</f>
        <v/>
      </c>
    </row>
    <row r="571">
      <c r="A571" s="13" t="n">
        <v>39534</v>
      </c>
      <c r="B571" s="14" t="n">
        <v>1.5786</v>
      </c>
      <c r="C571" t="inlineStr">
        <is>
          <t>После</t>
        </is>
      </c>
      <c r="D571" s="15">
        <f>B571/B570-1</f>
        <v/>
      </c>
      <c r="E571" s="16">
        <f>LN(B571/B570)</f>
        <v/>
      </c>
      <c r="F571" s="15">
        <f>_xlfn.STDEV.S(OFFSET(D571,-Описание!$B$12,0,Описание!$B$12,1))</f>
        <v/>
      </c>
      <c r="G571" s="15">
        <f>SQRT(Описание!$B$13*G570^2+(1-Описание!$B$13)*D570^2)</f>
        <v/>
      </c>
      <c r="H571" s="17">
        <f>Описание!$B$9*F571*Описание!$B$7</f>
        <v/>
      </c>
      <c r="I571" s="17">
        <f>Описание!$B$9*G571*Описание!$B$7</f>
        <v/>
      </c>
    </row>
    <row r="572">
      <c r="A572" s="13" t="n">
        <v>39535</v>
      </c>
      <c r="B572" s="14" t="n">
        <v>1.5796</v>
      </c>
      <c r="C572" t="inlineStr">
        <is>
          <t>После</t>
        </is>
      </c>
      <c r="D572" s="15">
        <f>B572/B571-1</f>
        <v/>
      </c>
      <c r="E572" s="16">
        <f>LN(B572/B571)</f>
        <v/>
      </c>
      <c r="F572" s="15">
        <f>_xlfn.STDEV.S(OFFSET(D572,-Описание!$B$12,0,Описание!$B$12,1))</f>
        <v/>
      </c>
      <c r="G572" s="15">
        <f>SQRT(Описание!$B$13*G571^2+(1-Описание!$B$13)*D571^2)</f>
        <v/>
      </c>
      <c r="H572" s="17">
        <f>Описание!$B$9*F572*Описание!$B$7</f>
        <v/>
      </c>
      <c r="I572" s="17">
        <f>Описание!$B$9*G572*Описание!$B$7</f>
        <v/>
      </c>
    </row>
    <row r="573">
      <c r="A573" s="13" t="n">
        <v>39538</v>
      </c>
      <c r="B573" s="14" t="n">
        <v>1.5812</v>
      </c>
      <c r="C573" t="inlineStr">
        <is>
          <t>После</t>
        </is>
      </c>
      <c r="D573" s="15">
        <f>B573/B572-1</f>
        <v/>
      </c>
      <c r="E573" s="16">
        <f>LN(B573/B572)</f>
        <v/>
      </c>
      <c r="F573" s="15">
        <f>_xlfn.STDEV.S(OFFSET(D573,-Описание!$B$12,0,Описание!$B$12,1))</f>
        <v/>
      </c>
      <c r="G573" s="15">
        <f>SQRT(Описание!$B$13*G572^2+(1-Описание!$B$13)*D572^2)</f>
        <v/>
      </c>
      <c r="H573" s="17">
        <f>Описание!$B$9*F573*Описание!$B$7</f>
        <v/>
      </c>
      <c r="I573" s="17">
        <f>Описание!$B$9*G573*Описание!$B$7</f>
        <v/>
      </c>
    </row>
    <row r="574">
      <c r="A574" s="13" t="n">
        <v>39539</v>
      </c>
      <c r="B574" s="14" t="n">
        <v>1.566</v>
      </c>
      <c r="C574" t="inlineStr">
        <is>
          <t>После</t>
        </is>
      </c>
      <c r="D574" s="15">
        <f>B574/B573-1</f>
        <v/>
      </c>
      <c r="E574" s="16">
        <f>LN(B574/B573)</f>
        <v/>
      </c>
      <c r="F574" s="15">
        <f>_xlfn.STDEV.S(OFFSET(D574,-Описание!$B$12,0,Описание!$B$12,1))</f>
        <v/>
      </c>
      <c r="G574" s="15">
        <f>SQRT(Описание!$B$13*G573^2+(1-Описание!$B$13)*D573^2)</f>
        <v/>
      </c>
      <c r="H574" s="17">
        <f>Описание!$B$9*F574*Описание!$B$7</f>
        <v/>
      </c>
      <c r="I574" s="17">
        <f>Описание!$B$9*G574*Описание!$B$7</f>
        <v/>
      </c>
    </row>
    <row r="575">
      <c r="A575" s="13" t="n">
        <v>39540</v>
      </c>
      <c r="B575" s="14" t="n">
        <v>1.5632</v>
      </c>
      <c r="C575" t="inlineStr">
        <is>
          <t>После</t>
        </is>
      </c>
      <c r="D575" s="15">
        <f>B575/B574-1</f>
        <v/>
      </c>
      <c r="E575" s="16">
        <f>LN(B575/B574)</f>
        <v/>
      </c>
      <c r="F575" s="15">
        <f>_xlfn.STDEV.S(OFFSET(D575,-Описание!$B$12,0,Описание!$B$12,1))</f>
        <v/>
      </c>
      <c r="G575" s="15">
        <f>SQRT(Описание!$B$13*G574^2+(1-Описание!$B$13)*D574^2)</f>
        <v/>
      </c>
      <c r="H575" s="17">
        <f>Описание!$B$9*F575*Описание!$B$7</f>
        <v/>
      </c>
      <c r="I575" s="17">
        <f>Описание!$B$9*G575*Описание!$B$7</f>
        <v/>
      </c>
    </row>
    <row r="576">
      <c r="A576" s="13" t="n">
        <v>39541</v>
      </c>
      <c r="B576" s="14" t="n">
        <v>1.5526</v>
      </c>
      <c r="C576" t="inlineStr">
        <is>
          <t>После</t>
        </is>
      </c>
      <c r="D576" s="15">
        <f>B576/B575-1</f>
        <v/>
      </c>
      <c r="E576" s="16">
        <f>LN(B576/B575)</f>
        <v/>
      </c>
      <c r="F576" s="15">
        <f>_xlfn.STDEV.S(OFFSET(D576,-Описание!$B$12,0,Описание!$B$12,1))</f>
        <v/>
      </c>
      <c r="G576" s="15">
        <f>SQRT(Описание!$B$13*G575^2+(1-Описание!$B$13)*D575^2)</f>
        <v/>
      </c>
      <c r="H576" s="17">
        <f>Описание!$B$9*F576*Описание!$B$7</f>
        <v/>
      </c>
      <c r="I576" s="17">
        <f>Описание!$B$9*G576*Описание!$B$7</f>
        <v/>
      </c>
    </row>
    <row r="577">
      <c r="A577" s="13" t="n">
        <v>39542</v>
      </c>
      <c r="B577" s="14" t="n">
        <v>1.5722</v>
      </c>
      <c r="C577" t="inlineStr">
        <is>
          <t>После</t>
        </is>
      </c>
      <c r="D577" s="15">
        <f>B577/B576-1</f>
        <v/>
      </c>
      <c r="E577" s="16">
        <f>LN(B577/B576)</f>
        <v/>
      </c>
      <c r="F577" s="15">
        <f>_xlfn.STDEV.S(OFFSET(D577,-Описание!$B$12,0,Описание!$B$12,1))</f>
        <v/>
      </c>
      <c r="G577" s="15">
        <f>SQRT(Описание!$B$13*G576^2+(1-Описание!$B$13)*D576^2)</f>
        <v/>
      </c>
      <c r="H577" s="17">
        <f>Описание!$B$9*F577*Описание!$B$7</f>
        <v/>
      </c>
      <c r="I577" s="17">
        <f>Описание!$B$9*G577*Описание!$B$7</f>
        <v/>
      </c>
    </row>
    <row r="578">
      <c r="A578" s="13" t="n">
        <v>39545</v>
      </c>
      <c r="B578" s="14" t="n">
        <v>1.5693</v>
      </c>
      <c r="C578" t="inlineStr">
        <is>
          <t>После</t>
        </is>
      </c>
      <c r="D578" s="15">
        <f>B578/B577-1</f>
        <v/>
      </c>
      <c r="E578" s="16">
        <f>LN(B578/B577)</f>
        <v/>
      </c>
      <c r="F578" s="15">
        <f>_xlfn.STDEV.S(OFFSET(D578,-Описание!$B$12,0,Описание!$B$12,1))</f>
        <v/>
      </c>
      <c r="G578" s="15">
        <f>SQRT(Описание!$B$13*G577^2+(1-Описание!$B$13)*D577^2)</f>
        <v/>
      </c>
      <c r="H578" s="17">
        <f>Описание!$B$9*F578*Описание!$B$7</f>
        <v/>
      </c>
      <c r="I578" s="17">
        <f>Описание!$B$9*G578*Описание!$B$7</f>
        <v/>
      </c>
    </row>
    <row r="579">
      <c r="A579" s="13" t="n">
        <v>39546</v>
      </c>
      <c r="B579" s="14" t="n">
        <v>1.5694</v>
      </c>
      <c r="C579" t="inlineStr">
        <is>
          <t>После</t>
        </is>
      </c>
      <c r="D579" s="15">
        <f>B579/B578-1</f>
        <v/>
      </c>
      <c r="E579" s="16">
        <f>LN(B579/B578)</f>
        <v/>
      </c>
      <c r="F579" s="15">
        <f>_xlfn.STDEV.S(OFFSET(D579,-Описание!$B$12,0,Описание!$B$12,1))</f>
        <v/>
      </c>
      <c r="G579" s="15">
        <f>SQRT(Описание!$B$13*G578^2+(1-Описание!$B$13)*D578^2)</f>
        <v/>
      </c>
      <c r="H579" s="17">
        <f>Описание!$B$9*F579*Описание!$B$7</f>
        <v/>
      </c>
      <c r="I579" s="17">
        <f>Описание!$B$9*G579*Описание!$B$7</f>
        <v/>
      </c>
    </row>
    <row r="580">
      <c r="A580" s="13" t="n">
        <v>39547</v>
      </c>
      <c r="B580" s="14" t="n">
        <v>1.5726</v>
      </c>
      <c r="C580" t="inlineStr">
        <is>
          <t>После</t>
        </is>
      </c>
      <c r="D580" s="15">
        <f>B580/B579-1</f>
        <v/>
      </c>
      <c r="E580" s="16">
        <f>LN(B580/B579)</f>
        <v/>
      </c>
      <c r="F580" s="15">
        <f>_xlfn.STDEV.S(OFFSET(D580,-Описание!$B$12,0,Описание!$B$12,1))</f>
        <v/>
      </c>
      <c r="G580" s="15">
        <f>SQRT(Описание!$B$13*G579^2+(1-Описание!$B$13)*D579^2)</f>
        <v/>
      </c>
      <c r="H580" s="17">
        <f>Описание!$B$9*F580*Описание!$B$7</f>
        <v/>
      </c>
      <c r="I580" s="17">
        <f>Описание!$B$9*G580*Описание!$B$7</f>
        <v/>
      </c>
    </row>
    <row r="581">
      <c r="A581" s="13" t="n">
        <v>39548</v>
      </c>
      <c r="B581" s="14" t="n">
        <v>1.5875</v>
      </c>
      <c r="C581" t="inlineStr">
        <is>
          <t>После</t>
        </is>
      </c>
      <c r="D581" s="15">
        <f>B581/B580-1</f>
        <v/>
      </c>
      <c r="E581" s="16">
        <f>LN(B581/B580)</f>
        <v/>
      </c>
      <c r="F581" s="15">
        <f>_xlfn.STDEV.S(OFFSET(D581,-Описание!$B$12,0,Описание!$B$12,1))</f>
        <v/>
      </c>
      <c r="G581" s="15">
        <f>SQRT(Описание!$B$13*G580^2+(1-Описание!$B$13)*D580^2)</f>
        <v/>
      </c>
      <c r="H581" s="17">
        <f>Описание!$B$9*F581*Описание!$B$7</f>
        <v/>
      </c>
      <c r="I581" s="17">
        <f>Описание!$B$9*G581*Описание!$B$7</f>
        <v/>
      </c>
    </row>
    <row r="582">
      <c r="A582" s="13" t="n">
        <v>39549</v>
      </c>
      <c r="B582" s="14" t="n">
        <v>1.5833</v>
      </c>
      <c r="C582" t="inlineStr">
        <is>
          <t>После</t>
        </is>
      </c>
      <c r="D582" s="15">
        <f>B582/B581-1</f>
        <v/>
      </c>
      <c r="E582" s="16">
        <f>LN(B582/B581)</f>
        <v/>
      </c>
      <c r="F582" s="15">
        <f>_xlfn.STDEV.S(OFFSET(D582,-Описание!$B$12,0,Описание!$B$12,1))</f>
        <v/>
      </c>
      <c r="G582" s="15">
        <f>SQRT(Описание!$B$13*G581^2+(1-Описание!$B$13)*D581^2)</f>
        <v/>
      </c>
      <c r="H582" s="17">
        <f>Описание!$B$9*F582*Описание!$B$7</f>
        <v/>
      </c>
      <c r="I582" s="17">
        <f>Описание!$B$9*G582*Описание!$B$7</f>
        <v/>
      </c>
    </row>
    <row r="583">
      <c r="A583" s="13" t="n">
        <v>39552</v>
      </c>
      <c r="B583" s="14" t="n">
        <v>1.5869</v>
      </c>
      <c r="C583" t="inlineStr">
        <is>
          <t>После</t>
        </is>
      </c>
      <c r="D583" s="15">
        <f>B583/B582-1</f>
        <v/>
      </c>
      <c r="E583" s="16">
        <f>LN(B583/B582)</f>
        <v/>
      </c>
      <c r="F583" s="15">
        <f>_xlfn.STDEV.S(OFFSET(D583,-Описание!$B$12,0,Описание!$B$12,1))</f>
        <v/>
      </c>
      <c r="G583" s="15">
        <f>SQRT(Описание!$B$13*G582^2+(1-Описание!$B$13)*D582^2)</f>
        <v/>
      </c>
      <c r="H583" s="17">
        <f>Описание!$B$9*F583*Описание!$B$7</f>
        <v/>
      </c>
      <c r="I583" s="17">
        <f>Описание!$B$9*G583*Описание!$B$7</f>
        <v/>
      </c>
    </row>
    <row r="584">
      <c r="A584" s="13" t="n">
        <v>39553</v>
      </c>
      <c r="B584" s="14" t="n">
        <v>1.5828</v>
      </c>
      <c r="C584" t="inlineStr">
        <is>
          <t>После</t>
        </is>
      </c>
      <c r="D584" s="15">
        <f>B584/B583-1</f>
        <v/>
      </c>
      <c r="E584" s="16">
        <f>LN(B584/B583)</f>
        <v/>
      </c>
      <c r="F584" s="15">
        <f>_xlfn.STDEV.S(OFFSET(D584,-Описание!$B$12,0,Описание!$B$12,1))</f>
        <v/>
      </c>
      <c r="G584" s="15">
        <f>SQRT(Описание!$B$13*G583^2+(1-Описание!$B$13)*D583^2)</f>
        <v/>
      </c>
      <c r="H584" s="17">
        <f>Описание!$B$9*F584*Описание!$B$7</f>
        <v/>
      </c>
      <c r="I584" s="17">
        <f>Описание!$B$9*G584*Описание!$B$7</f>
        <v/>
      </c>
    </row>
    <row r="585">
      <c r="A585" s="13" t="n">
        <v>39554</v>
      </c>
      <c r="B585" s="14" t="n">
        <v>1.5928</v>
      </c>
      <c r="C585" t="inlineStr">
        <is>
          <t>После</t>
        </is>
      </c>
      <c r="D585" s="15">
        <f>B585/B584-1</f>
        <v/>
      </c>
      <c r="E585" s="16">
        <f>LN(B585/B584)</f>
        <v/>
      </c>
      <c r="F585" s="15">
        <f>_xlfn.STDEV.S(OFFSET(D585,-Описание!$B$12,0,Описание!$B$12,1))</f>
        <v/>
      </c>
      <c r="G585" s="15">
        <f>SQRT(Описание!$B$13*G584^2+(1-Описание!$B$13)*D584^2)</f>
        <v/>
      </c>
      <c r="H585" s="17">
        <f>Описание!$B$9*F585*Описание!$B$7</f>
        <v/>
      </c>
      <c r="I585" s="17">
        <f>Описание!$B$9*G585*Описание!$B$7</f>
        <v/>
      </c>
    </row>
    <row r="586">
      <c r="A586" s="13" t="n">
        <v>39555</v>
      </c>
      <c r="B586" s="14" t="n">
        <v>1.5872</v>
      </c>
      <c r="C586" t="inlineStr">
        <is>
          <t>После</t>
        </is>
      </c>
      <c r="D586" s="15">
        <f>B586/B585-1</f>
        <v/>
      </c>
      <c r="E586" s="16">
        <f>LN(B586/B585)</f>
        <v/>
      </c>
      <c r="F586" s="15">
        <f>_xlfn.STDEV.S(OFFSET(D586,-Описание!$B$12,0,Описание!$B$12,1))</f>
        <v/>
      </c>
      <c r="G586" s="15">
        <f>SQRT(Описание!$B$13*G585^2+(1-Описание!$B$13)*D585^2)</f>
        <v/>
      </c>
      <c r="H586" s="17">
        <f>Описание!$B$9*F586*Описание!$B$7</f>
        <v/>
      </c>
      <c r="I586" s="17">
        <f>Описание!$B$9*G586*Описание!$B$7</f>
        <v/>
      </c>
    </row>
    <row r="587">
      <c r="A587" s="13" t="n">
        <v>39556</v>
      </c>
      <c r="B587" s="14" t="n">
        <v>1.578</v>
      </c>
      <c r="C587" t="inlineStr">
        <is>
          <t>После</t>
        </is>
      </c>
      <c r="D587" s="15">
        <f>B587/B586-1</f>
        <v/>
      </c>
      <c r="E587" s="16">
        <f>LN(B587/B586)</f>
        <v/>
      </c>
      <c r="F587" s="15">
        <f>_xlfn.STDEV.S(OFFSET(D587,-Описание!$B$12,0,Описание!$B$12,1))</f>
        <v/>
      </c>
      <c r="G587" s="15">
        <f>SQRT(Описание!$B$13*G586^2+(1-Описание!$B$13)*D586^2)</f>
        <v/>
      </c>
      <c r="H587" s="17">
        <f>Описание!$B$9*F587*Описание!$B$7</f>
        <v/>
      </c>
      <c r="I587" s="17">
        <f>Описание!$B$9*G587*Описание!$B$7</f>
        <v/>
      </c>
    </row>
    <row r="588">
      <c r="A588" s="13" t="n">
        <v>39559</v>
      </c>
      <c r="B588" s="14" t="n">
        <v>1.5898</v>
      </c>
      <c r="C588" t="inlineStr">
        <is>
          <t>После</t>
        </is>
      </c>
      <c r="D588" s="15">
        <f>B588/B587-1</f>
        <v/>
      </c>
      <c r="E588" s="16">
        <f>LN(B588/B587)</f>
        <v/>
      </c>
      <c r="F588" s="15">
        <f>_xlfn.STDEV.S(OFFSET(D588,-Описание!$B$12,0,Описание!$B$12,1))</f>
        <v/>
      </c>
      <c r="G588" s="15">
        <f>SQRT(Описание!$B$13*G587^2+(1-Описание!$B$13)*D587^2)</f>
        <v/>
      </c>
      <c r="H588" s="17">
        <f>Описание!$B$9*F588*Описание!$B$7</f>
        <v/>
      </c>
      <c r="I588" s="17">
        <f>Описание!$B$9*G588*Описание!$B$7</f>
        <v/>
      </c>
    </row>
    <row r="589">
      <c r="A589" s="13" t="n">
        <v>39560</v>
      </c>
      <c r="B589" s="14" t="n">
        <v>1.5931</v>
      </c>
      <c r="C589" t="inlineStr">
        <is>
          <t>После</t>
        </is>
      </c>
      <c r="D589" s="15">
        <f>B589/B588-1</f>
        <v/>
      </c>
      <c r="E589" s="16">
        <f>LN(B589/B588)</f>
        <v/>
      </c>
      <c r="F589" s="15">
        <f>_xlfn.STDEV.S(OFFSET(D589,-Описание!$B$12,0,Описание!$B$12,1))</f>
        <v/>
      </c>
      <c r="G589" s="15">
        <f>SQRT(Описание!$B$13*G588^2+(1-Описание!$B$13)*D588^2)</f>
        <v/>
      </c>
      <c r="H589" s="17">
        <f>Описание!$B$9*F589*Описание!$B$7</f>
        <v/>
      </c>
      <c r="I589" s="17">
        <f>Описание!$B$9*G589*Описание!$B$7</f>
        <v/>
      </c>
    </row>
    <row r="590">
      <c r="A590" s="13" t="n">
        <v>39561</v>
      </c>
      <c r="B590" s="14" t="n">
        <v>1.594</v>
      </c>
      <c r="C590" t="inlineStr">
        <is>
          <t>После</t>
        </is>
      </c>
      <c r="D590" s="15">
        <f>B590/B589-1</f>
        <v/>
      </c>
      <c r="E590" s="16">
        <f>LN(B590/B589)</f>
        <v/>
      </c>
      <c r="F590" s="15">
        <f>_xlfn.STDEV.S(OFFSET(D590,-Описание!$B$12,0,Описание!$B$12,1))</f>
        <v/>
      </c>
      <c r="G590" s="15">
        <f>SQRT(Описание!$B$13*G589^2+(1-Описание!$B$13)*D589^2)</f>
        <v/>
      </c>
      <c r="H590" s="17">
        <f>Описание!$B$9*F590*Описание!$B$7</f>
        <v/>
      </c>
      <c r="I590" s="17">
        <f>Описание!$B$9*G590*Описание!$B$7</f>
        <v/>
      </c>
    </row>
    <row r="591">
      <c r="A591" s="13" t="n">
        <v>39562</v>
      </c>
      <c r="B591" s="14" t="n">
        <v>1.5769</v>
      </c>
      <c r="C591" t="inlineStr">
        <is>
          <t>После</t>
        </is>
      </c>
      <c r="D591" s="15">
        <f>B591/B590-1</f>
        <v/>
      </c>
      <c r="E591" s="16">
        <f>LN(B591/B590)</f>
        <v/>
      </c>
      <c r="F591" s="15">
        <f>_xlfn.STDEV.S(OFFSET(D591,-Описание!$B$12,0,Описание!$B$12,1))</f>
        <v/>
      </c>
      <c r="G591" s="15">
        <f>SQRT(Описание!$B$13*G590^2+(1-Описание!$B$13)*D590^2)</f>
        <v/>
      </c>
      <c r="H591" s="17">
        <f>Описание!$B$9*F591*Описание!$B$7</f>
        <v/>
      </c>
      <c r="I591" s="17">
        <f>Описание!$B$9*G591*Описание!$B$7</f>
        <v/>
      </c>
    </row>
    <row r="592">
      <c r="A592" s="13" t="n">
        <v>39563</v>
      </c>
      <c r="B592" s="14" t="n">
        <v>1.5596</v>
      </c>
      <c r="C592" t="inlineStr">
        <is>
          <t>После</t>
        </is>
      </c>
      <c r="D592" s="15">
        <f>B592/B591-1</f>
        <v/>
      </c>
      <c r="E592" s="16">
        <f>LN(B592/B591)</f>
        <v/>
      </c>
      <c r="F592" s="15">
        <f>_xlfn.STDEV.S(OFFSET(D592,-Описание!$B$12,0,Описание!$B$12,1))</f>
        <v/>
      </c>
      <c r="G592" s="15">
        <f>SQRT(Описание!$B$13*G591^2+(1-Описание!$B$13)*D591^2)</f>
        <v/>
      </c>
      <c r="H592" s="17">
        <f>Описание!$B$9*F592*Описание!$B$7</f>
        <v/>
      </c>
      <c r="I592" s="17">
        <f>Описание!$B$9*G592*Описание!$B$7</f>
        <v/>
      </c>
    </row>
    <row r="593">
      <c r="A593" s="13" t="n">
        <v>39566</v>
      </c>
      <c r="B593" s="14" t="n">
        <v>1.5628</v>
      </c>
      <c r="C593" t="inlineStr">
        <is>
          <t>После</t>
        </is>
      </c>
      <c r="D593" s="15">
        <f>B593/B592-1</f>
        <v/>
      </c>
      <c r="E593" s="16">
        <f>LN(B593/B592)</f>
        <v/>
      </c>
      <c r="F593" s="15">
        <f>_xlfn.STDEV.S(OFFSET(D593,-Описание!$B$12,0,Описание!$B$12,1))</f>
        <v/>
      </c>
      <c r="G593" s="15">
        <f>SQRT(Описание!$B$13*G592^2+(1-Описание!$B$13)*D592^2)</f>
        <v/>
      </c>
      <c r="H593" s="17">
        <f>Описание!$B$9*F593*Описание!$B$7</f>
        <v/>
      </c>
      <c r="I593" s="17">
        <f>Описание!$B$9*G593*Описание!$B$7</f>
        <v/>
      </c>
    </row>
    <row r="594">
      <c r="A594" s="13" t="n">
        <v>39567</v>
      </c>
      <c r="B594" s="14" t="n">
        <v>1.5571</v>
      </c>
      <c r="C594" t="inlineStr">
        <is>
          <t>После</t>
        </is>
      </c>
      <c r="D594" s="15">
        <f>B594/B593-1</f>
        <v/>
      </c>
      <c r="E594" s="16">
        <f>LN(B594/B593)</f>
        <v/>
      </c>
      <c r="F594" s="15">
        <f>_xlfn.STDEV.S(OFFSET(D594,-Описание!$B$12,0,Описание!$B$12,1))</f>
        <v/>
      </c>
      <c r="G594" s="15">
        <f>SQRT(Описание!$B$13*G593^2+(1-Описание!$B$13)*D593^2)</f>
        <v/>
      </c>
      <c r="H594" s="17">
        <f>Описание!$B$9*F594*Описание!$B$7</f>
        <v/>
      </c>
      <c r="I594" s="17">
        <f>Описание!$B$9*G594*Описание!$B$7</f>
        <v/>
      </c>
    </row>
    <row r="595">
      <c r="A595" s="13" t="n">
        <v>39568</v>
      </c>
      <c r="B595" s="14" t="n">
        <v>1.554</v>
      </c>
      <c r="C595" t="inlineStr">
        <is>
          <t>После</t>
        </is>
      </c>
      <c r="D595" s="15">
        <f>B595/B594-1</f>
        <v/>
      </c>
      <c r="E595" s="16">
        <f>LN(B595/B594)</f>
        <v/>
      </c>
      <c r="F595" s="15">
        <f>_xlfn.STDEV.S(OFFSET(D595,-Описание!$B$12,0,Описание!$B$12,1))</f>
        <v/>
      </c>
      <c r="G595" s="15">
        <f>SQRT(Описание!$B$13*G594^2+(1-Описание!$B$13)*D594^2)</f>
        <v/>
      </c>
      <c r="H595" s="17">
        <f>Описание!$B$9*F595*Описание!$B$7</f>
        <v/>
      </c>
      <c r="I595" s="17">
        <f>Описание!$B$9*G595*Описание!$B$7</f>
        <v/>
      </c>
    </row>
    <row r="596">
      <c r="A596" s="13" t="n">
        <v>39570</v>
      </c>
      <c r="B596" s="14" t="n">
        <v>1.5458</v>
      </c>
      <c r="C596" t="inlineStr">
        <is>
          <t>После</t>
        </is>
      </c>
      <c r="D596" s="15">
        <f>B596/B595-1</f>
        <v/>
      </c>
      <c r="E596" s="16">
        <f>LN(B596/B595)</f>
        <v/>
      </c>
      <c r="F596" s="15">
        <f>_xlfn.STDEV.S(OFFSET(D596,-Описание!$B$12,0,Описание!$B$12,1))</f>
        <v/>
      </c>
      <c r="G596" s="15">
        <f>SQRT(Описание!$B$13*G595^2+(1-Описание!$B$13)*D595^2)</f>
        <v/>
      </c>
      <c r="H596" s="17">
        <f>Описание!$B$9*F596*Описание!$B$7</f>
        <v/>
      </c>
      <c r="I596" s="17">
        <f>Описание!$B$9*G596*Описание!$B$7</f>
        <v/>
      </c>
    </row>
    <row r="597">
      <c r="A597" s="13" t="n">
        <v>39573</v>
      </c>
      <c r="B597" s="14" t="n">
        <v>1.546</v>
      </c>
      <c r="C597" t="inlineStr">
        <is>
          <t>После</t>
        </is>
      </c>
      <c r="D597" s="15">
        <f>B597/B596-1</f>
        <v/>
      </c>
      <c r="E597" s="16">
        <f>LN(B597/B596)</f>
        <v/>
      </c>
      <c r="F597" s="15">
        <f>_xlfn.STDEV.S(OFFSET(D597,-Описание!$B$12,0,Описание!$B$12,1))</f>
        <v/>
      </c>
      <c r="G597" s="15">
        <f>SQRT(Описание!$B$13*G596^2+(1-Описание!$B$13)*D596^2)</f>
        <v/>
      </c>
      <c r="H597" s="17">
        <f>Описание!$B$9*F597*Описание!$B$7</f>
        <v/>
      </c>
      <c r="I597" s="17">
        <f>Описание!$B$9*G597*Описание!$B$7</f>
        <v/>
      </c>
    </row>
    <row r="598">
      <c r="A598" s="13" t="n">
        <v>39574</v>
      </c>
      <c r="B598" s="14" t="n">
        <v>1.5528</v>
      </c>
      <c r="C598" t="inlineStr">
        <is>
          <t>После</t>
        </is>
      </c>
      <c r="D598" s="15">
        <f>B598/B597-1</f>
        <v/>
      </c>
      <c r="E598" s="16">
        <f>LN(B598/B597)</f>
        <v/>
      </c>
      <c r="F598" s="15">
        <f>_xlfn.STDEV.S(OFFSET(D598,-Описание!$B$12,0,Описание!$B$12,1))</f>
        <v/>
      </c>
      <c r="G598" s="15">
        <f>SQRT(Описание!$B$13*G597^2+(1-Описание!$B$13)*D597^2)</f>
        <v/>
      </c>
      <c r="H598" s="17">
        <f>Описание!$B$9*F598*Описание!$B$7</f>
        <v/>
      </c>
      <c r="I598" s="17">
        <f>Описание!$B$9*G598*Описание!$B$7</f>
        <v/>
      </c>
    </row>
    <row r="599">
      <c r="A599" s="13" t="n">
        <v>39575</v>
      </c>
      <c r="B599" s="14" t="n">
        <v>1.543</v>
      </c>
      <c r="C599" t="inlineStr">
        <is>
          <t>После</t>
        </is>
      </c>
      <c r="D599" s="15">
        <f>B599/B598-1</f>
        <v/>
      </c>
      <c r="E599" s="16">
        <f>LN(B599/B598)</f>
        <v/>
      </c>
      <c r="F599" s="15">
        <f>_xlfn.STDEV.S(OFFSET(D599,-Описание!$B$12,0,Описание!$B$12,1))</f>
        <v/>
      </c>
      <c r="G599" s="15">
        <f>SQRT(Описание!$B$13*G598^2+(1-Описание!$B$13)*D598^2)</f>
        <v/>
      </c>
      <c r="H599" s="17">
        <f>Описание!$B$9*F599*Описание!$B$7</f>
        <v/>
      </c>
      <c r="I599" s="17">
        <f>Описание!$B$9*G599*Описание!$B$7</f>
        <v/>
      </c>
    </row>
    <row r="600">
      <c r="A600" s="13" t="n">
        <v>39576</v>
      </c>
      <c r="B600" s="14" t="n">
        <v>1.5347</v>
      </c>
      <c r="C600" t="inlineStr">
        <is>
          <t>После</t>
        </is>
      </c>
      <c r="D600" s="15">
        <f>B600/B599-1</f>
        <v/>
      </c>
      <c r="E600" s="16">
        <f>LN(B600/B599)</f>
        <v/>
      </c>
      <c r="F600" s="15">
        <f>_xlfn.STDEV.S(OFFSET(D600,-Описание!$B$12,0,Описание!$B$12,1))</f>
        <v/>
      </c>
      <c r="G600" s="15">
        <f>SQRT(Описание!$B$13*G599^2+(1-Описание!$B$13)*D599^2)</f>
        <v/>
      </c>
      <c r="H600" s="17">
        <f>Описание!$B$9*F600*Описание!$B$7</f>
        <v/>
      </c>
      <c r="I600" s="17">
        <f>Описание!$B$9*G600*Описание!$B$7</f>
        <v/>
      </c>
    </row>
    <row r="601">
      <c r="A601" s="13" t="n">
        <v>39577</v>
      </c>
      <c r="B601" s="14" t="n">
        <v>1.5458</v>
      </c>
      <c r="C601" t="inlineStr">
        <is>
          <t>После</t>
        </is>
      </c>
      <c r="D601" s="15">
        <f>B601/B600-1</f>
        <v/>
      </c>
      <c r="E601" s="16">
        <f>LN(B601/B600)</f>
        <v/>
      </c>
      <c r="F601" s="15">
        <f>_xlfn.STDEV.S(OFFSET(D601,-Описание!$B$12,0,Описание!$B$12,1))</f>
        <v/>
      </c>
      <c r="G601" s="15">
        <f>SQRT(Описание!$B$13*G600^2+(1-Описание!$B$13)*D600^2)</f>
        <v/>
      </c>
      <c r="H601" s="17">
        <f>Описание!$B$9*F601*Описание!$B$7</f>
        <v/>
      </c>
      <c r="I601" s="17">
        <f>Описание!$B$9*G601*Описание!$B$7</f>
        <v/>
      </c>
    </row>
    <row r="602">
      <c r="A602" s="13" t="n">
        <v>39580</v>
      </c>
      <c r="B602" s="14" t="n">
        <v>1.543</v>
      </c>
      <c r="C602" t="inlineStr">
        <is>
          <t>После</t>
        </is>
      </c>
      <c r="D602" s="15">
        <f>B602/B601-1</f>
        <v/>
      </c>
      <c r="E602" s="16">
        <f>LN(B602/B601)</f>
        <v/>
      </c>
      <c r="F602" s="15">
        <f>_xlfn.STDEV.S(OFFSET(D602,-Описание!$B$12,0,Описание!$B$12,1))</f>
        <v/>
      </c>
      <c r="G602" s="15">
        <f>SQRT(Описание!$B$13*G601^2+(1-Описание!$B$13)*D601^2)</f>
        <v/>
      </c>
      <c r="H602" s="17">
        <f>Описание!$B$9*F602*Описание!$B$7</f>
        <v/>
      </c>
      <c r="I602" s="17">
        <f>Описание!$B$9*G602*Описание!$B$7</f>
        <v/>
      </c>
    </row>
    <row r="603">
      <c r="A603" s="13" t="n">
        <v>39581</v>
      </c>
      <c r="B603" s="14" t="n">
        <v>1.5473</v>
      </c>
      <c r="C603" t="inlineStr">
        <is>
          <t>После</t>
        </is>
      </c>
      <c r="D603" s="15">
        <f>B603/B602-1</f>
        <v/>
      </c>
      <c r="E603" s="16">
        <f>LN(B603/B602)</f>
        <v/>
      </c>
      <c r="F603" s="15">
        <f>_xlfn.STDEV.S(OFFSET(D603,-Описание!$B$12,0,Описание!$B$12,1))</f>
        <v/>
      </c>
      <c r="G603" s="15">
        <f>SQRT(Описание!$B$13*G602^2+(1-Описание!$B$13)*D602^2)</f>
        <v/>
      </c>
      <c r="H603" s="17">
        <f>Описание!$B$9*F603*Описание!$B$7</f>
        <v/>
      </c>
      <c r="I603" s="17">
        <f>Описание!$B$9*G603*Описание!$B$7</f>
        <v/>
      </c>
    </row>
    <row r="604">
      <c r="A604" s="13" t="n">
        <v>39582</v>
      </c>
      <c r="B604" s="14" t="n">
        <v>1.5439</v>
      </c>
      <c r="C604" t="inlineStr">
        <is>
          <t>После</t>
        </is>
      </c>
      <c r="D604" s="15">
        <f>B604/B603-1</f>
        <v/>
      </c>
      <c r="E604" s="16">
        <f>LN(B604/B603)</f>
        <v/>
      </c>
      <c r="F604" s="15">
        <f>_xlfn.STDEV.S(OFFSET(D604,-Описание!$B$12,0,Описание!$B$12,1))</f>
        <v/>
      </c>
      <c r="G604" s="15">
        <f>SQRT(Описание!$B$13*G603^2+(1-Описание!$B$13)*D603^2)</f>
        <v/>
      </c>
      <c r="H604" s="17">
        <f>Описание!$B$9*F604*Описание!$B$7</f>
        <v/>
      </c>
      <c r="I604" s="17">
        <f>Описание!$B$9*G604*Описание!$B$7</f>
        <v/>
      </c>
    </row>
    <row r="605">
      <c r="A605" s="13" t="n">
        <v>39583</v>
      </c>
      <c r="B605" s="14" t="n">
        <v>1.5474</v>
      </c>
      <c r="C605" t="inlineStr">
        <is>
          <t>После</t>
        </is>
      </c>
      <c r="D605" s="15">
        <f>B605/B604-1</f>
        <v/>
      </c>
      <c r="E605" s="16">
        <f>LN(B605/B604)</f>
        <v/>
      </c>
      <c r="F605" s="15">
        <f>_xlfn.STDEV.S(OFFSET(D605,-Описание!$B$12,0,Описание!$B$12,1))</f>
        <v/>
      </c>
      <c r="G605" s="15">
        <f>SQRT(Описание!$B$13*G604^2+(1-Описание!$B$13)*D604^2)</f>
        <v/>
      </c>
      <c r="H605" s="17">
        <f>Описание!$B$9*F605*Описание!$B$7</f>
        <v/>
      </c>
      <c r="I605" s="17">
        <f>Описание!$B$9*G605*Описание!$B$7</f>
        <v/>
      </c>
    </row>
    <row r="606">
      <c r="A606" s="13" t="n">
        <v>39584</v>
      </c>
      <c r="B606" s="14" t="n">
        <v>1.5498</v>
      </c>
      <c r="C606" t="inlineStr">
        <is>
          <t>После</t>
        </is>
      </c>
      <c r="D606" s="15">
        <f>B606/B605-1</f>
        <v/>
      </c>
      <c r="E606" s="16">
        <f>LN(B606/B605)</f>
        <v/>
      </c>
      <c r="F606" s="15">
        <f>_xlfn.STDEV.S(OFFSET(D606,-Описание!$B$12,0,Описание!$B$12,1))</f>
        <v/>
      </c>
      <c r="G606" s="15">
        <f>SQRT(Описание!$B$13*G605^2+(1-Описание!$B$13)*D605^2)</f>
        <v/>
      </c>
      <c r="H606" s="17">
        <f>Описание!$B$9*F606*Описание!$B$7</f>
        <v/>
      </c>
      <c r="I606" s="17">
        <f>Описание!$B$9*G606*Описание!$B$7</f>
        <v/>
      </c>
    </row>
    <row r="607">
      <c r="A607" s="13" t="n">
        <v>39587</v>
      </c>
      <c r="B607" s="14" t="n">
        <v>1.5577</v>
      </c>
      <c r="C607" t="inlineStr">
        <is>
          <t>После</t>
        </is>
      </c>
      <c r="D607" s="15">
        <f>B607/B606-1</f>
        <v/>
      </c>
      <c r="E607" s="16">
        <f>LN(B607/B606)</f>
        <v/>
      </c>
      <c r="F607" s="15">
        <f>_xlfn.STDEV.S(OFFSET(D607,-Описание!$B$12,0,Описание!$B$12,1))</f>
        <v/>
      </c>
      <c r="G607" s="15">
        <f>SQRT(Описание!$B$13*G606^2+(1-Описание!$B$13)*D606^2)</f>
        <v/>
      </c>
      <c r="H607" s="17">
        <f>Описание!$B$9*F607*Описание!$B$7</f>
        <v/>
      </c>
      <c r="I607" s="17">
        <f>Описание!$B$9*G607*Описание!$B$7</f>
        <v/>
      </c>
    </row>
    <row r="608">
      <c r="A608" s="13" t="n">
        <v>39588</v>
      </c>
      <c r="B608" s="14" t="n">
        <v>1.5639</v>
      </c>
      <c r="C608" t="inlineStr">
        <is>
          <t>После</t>
        </is>
      </c>
      <c r="D608" s="15">
        <f>B608/B607-1</f>
        <v/>
      </c>
      <c r="E608" s="16">
        <f>LN(B608/B607)</f>
        <v/>
      </c>
      <c r="F608" s="15">
        <f>_xlfn.STDEV.S(OFFSET(D608,-Описание!$B$12,0,Описание!$B$12,1))</f>
        <v/>
      </c>
      <c r="G608" s="15">
        <f>SQRT(Описание!$B$13*G607^2+(1-Описание!$B$13)*D607^2)</f>
        <v/>
      </c>
      <c r="H608" s="17">
        <f>Описание!$B$9*F608*Описание!$B$7</f>
        <v/>
      </c>
      <c r="I608" s="17">
        <f>Описание!$B$9*G608*Описание!$B$7</f>
        <v/>
      </c>
    </row>
    <row r="609">
      <c r="A609" s="13" t="n">
        <v>39589</v>
      </c>
      <c r="B609" s="14" t="n">
        <v>1.5753</v>
      </c>
      <c r="C609" t="inlineStr">
        <is>
          <t>После</t>
        </is>
      </c>
      <c r="D609" s="15">
        <f>B609/B608-1</f>
        <v/>
      </c>
      <c r="E609" s="16">
        <f>LN(B609/B608)</f>
        <v/>
      </c>
      <c r="F609" s="15">
        <f>_xlfn.STDEV.S(OFFSET(D609,-Описание!$B$12,0,Описание!$B$12,1))</f>
        <v/>
      </c>
      <c r="G609" s="15">
        <f>SQRT(Описание!$B$13*G608^2+(1-Описание!$B$13)*D608^2)</f>
        <v/>
      </c>
      <c r="H609" s="17">
        <f>Описание!$B$9*F609*Описание!$B$7</f>
        <v/>
      </c>
      <c r="I609" s="17">
        <f>Описание!$B$9*G609*Описание!$B$7</f>
        <v/>
      </c>
    </row>
    <row r="610">
      <c r="A610" s="13" t="n">
        <v>39590</v>
      </c>
      <c r="B610" s="14" t="n">
        <v>1.5755</v>
      </c>
      <c r="C610" t="inlineStr">
        <is>
          <t>После</t>
        </is>
      </c>
      <c r="D610" s="15">
        <f>B610/B609-1</f>
        <v/>
      </c>
      <c r="E610" s="16">
        <f>LN(B610/B609)</f>
        <v/>
      </c>
      <c r="F610" s="15">
        <f>_xlfn.STDEV.S(OFFSET(D610,-Описание!$B$12,0,Описание!$B$12,1))</f>
        <v/>
      </c>
      <c r="G610" s="15">
        <f>SQRT(Описание!$B$13*G609^2+(1-Описание!$B$13)*D609^2)</f>
        <v/>
      </c>
      <c r="H610" s="17">
        <f>Описание!$B$9*F610*Описание!$B$7</f>
        <v/>
      </c>
      <c r="I610" s="17">
        <f>Описание!$B$9*G610*Описание!$B$7</f>
        <v/>
      </c>
    </row>
    <row r="611">
      <c r="A611" s="13" t="n">
        <v>39591</v>
      </c>
      <c r="B611" s="14" t="n">
        <v>1.5742</v>
      </c>
      <c r="C611" t="inlineStr">
        <is>
          <t>После</t>
        </is>
      </c>
      <c r="D611" s="15">
        <f>B611/B610-1</f>
        <v/>
      </c>
      <c r="E611" s="16">
        <f>LN(B611/B610)</f>
        <v/>
      </c>
      <c r="F611" s="15">
        <f>_xlfn.STDEV.S(OFFSET(D611,-Описание!$B$12,0,Описание!$B$12,1))</f>
        <v/>
      </c>
      <c r="G611" s="15">
        <f>SQRT(Описание!$B$13*G610^2+(1-Описание!$B$13)*D610^2)</f>
        <v/>
      </c>
      <c r="H611" s="17">
        <f>Описание!$B$9*F611*Описание!$B$7</f>
        <v/>
      </c>
      <c r="I611" s="17">
        <f>Описание!$B$9*G611*Описание!$B$7</f>
        <v/>
      </c>
    </row>
    <row r="612">
      <c r="A612" s="13" t="n">
        <v>39594</v>
      </c>
      <c r="B612" s="14" t="n">
        <v>1.5761</v>
      </c>
      <c r="C612" t="inlineStr">
        <is>
          <t>После</t>
        </is>
      </c>
      <c r="D612" s="15">
        <f>B612/B611-1</f>
        <v/>
      </c>
      <c r="E612" s="16">
        <f>LN(B612/B611)</f>
        <v/>
      </c>
      <c r="F612" s="15">
        <f>_xlfn.STDEV.S(OFFSET(D612,-Описание!$B$12,0,Описание!$B$12,1))</f>
        <v/>
      </c>
      <c r="G612" s="15">
        <f>SQRT(Описание!$B$13*G611^2+(1-Описание!$B$13)*D611^2)</f>
        <v/>
      </c>
      <c r="H612" s="17">
        <f>Описание!$B$9*F612*Описание!$B$7</f>
        <v/>
      </c>
      <c r="I612" s="17">
        <f>Описание!$B$9*G612*Описание!$B$7</f>
        <v/>
      </c>
    </row>
    <row r="613">
      <c r="A613" s="13" t="n">
        <v>39595</v>
      </c>
      <c r="B613" s="14" t="n">
        <v>1.576</v>
      </c>
      <c r="C613" t="inlineStr">
        <is>
          <t>После</t>
        </is>
      </c>
      <c r="D613" s="15">
        <f>B613/B612-1</f>
        <v/>
      </c>
      <c r="E613" s="16">
        <f>LN(B613/B612)</f>
        <v/>
      </c>
      <c r="F613" s="15">
        <f>_xlfn.STDEV.S(OFFSET(D613,-Описание!$B$12,0,Описание!$B$12,1))</f>
        <v/>
      </c>
      <c r="G613" s="15">
        <f>SQRT(Описание!$B$13*G612^2+(1-Описание!$B$13)*D612^2)</f>
        <v/>
      </c>
      <c r="H613" s="17">
        <f>Описание!$B$9*F613*Описание!$B$7</f>
        <v/>
      </c>
      <c r="I613" s="17">
        <f>Описание!$B$9*G613*Описание!$B$7</f>
        <v/>
      </c>
    </row>
    <row r="614">
      <c r="A614" s="13" t="n">
        <v>39596</v>
      </c>
      <c r="B614" s="14" t="n">
        <v>1.5656</v>
      </c>
      <c r="C614" t="inlineStr">
        <is>
          <t>После</t>
        </is>
      </c>
      <c r="D614" s="15">
        <f>B614/B613-1</f>
        <v/>
      </c>
      <c r="E614" s="16">
        <f>LN(B614/B613)</f>
        <v/>
      </c>
      <c r="F614" s="15">
        <f>_xlfn.STDEV.S(OFFSET(D614,-Описание!$B$12,0,Описание!$B$12,1))</f>
        <v/>
      </c>
      <c r="G614" s="15">
        <f>SQRT(Описание!$B$13*G613^2+(1-Описание!$B$13)*D613^2)</f>
        <v/>
      </c>
      <c r="H614" s="17">
        <f>Описание!$B$9*F614*Описание!$B$7</f>
        <v/>
      </c>
      <c r="I614" s="17">
        <f>Описание!$B$9*G614*Описание!$B$7</f>
        <v/>
      </c>
    </row>
    <row r="615">
      <c r="A615" s="13" t="n">
        <v>39597</v>
      </c>
      <c r="B615" s="14" t="n">
        <v>1.5551</v>
      </c>
      <c r="C615" t="inlineStr">
        <is>
          <t>После</t>
        </is>
      </c>
      <c r="D615" s="15">
        <f>B615/B614-1</f>
        <v/>
      </c>
      <c r="E615" s="16">
        <f>LN(B615/B614)</f>
        <v/>
      </c>
      <c r="F615" s="15">
        <f>_xlfn.STDEV.S(OFFSET(D615,-Описание!$B$12,0,Описание!$B$12,1))</f>
        <v/>
      </c>
      <c r="G615" s="15">
        <f>SQRT(Описание!$B$13*G614^2+(1-Описание!$B$13)*D614^2)</f>
        <v/>
      </c>
      <c r="H615" s="17">
        <f>Описание!$B$9*F615*Описание!$B$7</f>
        <v/>
      </c>
      <c r="I615" s="17">
        <f>Описание!$B$9*G615*Описание!$B$7</f>
        <v/>
      </c>
    </row>
    <row r="616">
      <c r="A616" s="13" t="n">
        <v>39598</v>
      </c>
      <c r="B616" s="14" t="n">
        <v>1.5508</v>
      </c>
      <c r="C616" t="inlineStr">
        <is>
          <t>После</t>
        </is>
      </c>
      <c r="D616" s="15">
        <f>B616/B615-1</f>
        <v/>
      </c>
      <c r="E616" s="16">
        <f>LN(B616/B615)</f>
        <v/>
      </c>
      <c r="F616" s="15">
        <f>_xlfn.STDEV.S(OFFSET(D616,-Описание!$B$12,0,Описание!$B$12,1))</f>
        <v/>
      </c>
      <c r="G616" s="15">
        <f>SQRT(Описание!$B$13*G615^2+(1-Описание!$B$13)*D615^2)</f>
        <v/>
      </c>
      <c r="H616" s="17">
        <f>Описание!$B$9*F616*Описание!$B$7</f>
        <v/>
      </c>
      <c r="I616" s="17">
        <f>Описание!$B$9*G616*Описание!$B$7</f>
        <v/>
      </c>
    </row>
    <row r="617">
      <c r="A617" s="13" t="n">
        <v>39601</v>
      </c>
      <c r="B617" s="14" t="n">
        <v>1.5521</v>
      </c>
      <c r="C617" t="inlineStr">
        <is>
          <t>После</t>
        </is>
      </c>
      <c r="D617" s="15">
        <f>B617/B616-1</f>
        <v/>
      </c>
      <c r="E617" s="16">
        <f>LN(B617/B616)</f>
        <v/>
      </c>
      <c r="F617" s="15">
        <f>_xlfn.STDEV.S(OFFSET(D617,-Описание!$B$12,0,Описание!$B$12,1))</f>
        <v/>
      </c>
      <c r="G617" s="15">
        <f>SQRT(Описание!$B$13*G616^2+(1-Описание!$B$13)*D616^2)</f>
        <v/>
      </c>
      <c r="H617" s="17">
        <f>Описание!$B$9*F617*Описание!$B$7</f>
        <v/>
      </c>
      <c r="I617" s="17">
        <f>Описание!$B$9*G617*Описание!$B$7</f>
        <v/>
      </c>
    </row>
    <row r="618">
      <c r="A618" s="13" t="n">
        <v>39602</v>
      </c>
      <c r="B618" s="14" t="n">
        <v>1.5593</v>
      </c>
      <c r="C618" t="inlineStr">
        <is>
          <t>После</t>
        </is>
      </c>
      <c r="D618" s="15">
        <f>B618/B617-1</f>
        <v/>
      </c>
      <c r="E618" s="16">
        <f>LN(B618/B617)</f>
        <v/>
      </c>
      <c r="F618" s="15">
        <f>_xlfn.STDEV.S(OFFSET(D618,-Описание!$B$12,0,Описание!$B$12,1))</f>
        <v/>
      </c>
      <c r="G618" s="15">
        <f>SQRT(Описание!$B$13*G617^2+(1-Описание!$B$13)*D617^2)</f>
        <v/>
      </c>
      <c r="H618" s="17">
        <f>Описание!$B$9*F618*Описание!$B$7</f>
        <v/>
      </c>
      <c r="I618" s="17">
        <f>Описание!$B$9*G618*Описание!$B$7</f>
        <v/>
      </c>
    </row>
    <row r="619">
      <c r="A619" s="13" t="n">
        <v>39603</v>
      </c>
      <c r="B619" s="14" t="n">
        <v>1.5466</v>
      </c>
      <c r="C619" t="inlineStr">
        <is>
          <t>После</t>
        </is>
      </c>
      <c r="D619" s="15">
        <f>B619/B618-1</f>
        <v/>
      </c>
      <c r="E619" s="16">
        <f>LN(B619/B618)</f>
        <v/>
      </c>
      <c r="F619" s="15">
        <f>_xlfn.STDEV.S(OFFSET(D619,-Описание!$B$12,0,Описание!$B$12,1))</f>
        <v/>
      </c>
      <c r="G619" s="15">
        <f>SQRT(Описание!$B$13*G618^2+(1-Описание!$B$13)*D618^2)</f>
        <v/>
      </c>
      <c r="H619" s="17">
        <f>Описание!$B$9*F619*Описание!$B$7</f>
        <v/>
      </c>
      <c r="I619" s="17">
        <f>Описание!$B$9*G619*Описание!$B$7</f>
        <v/>
      </c>
    </row>
    <row r="620">
      <c r="A620" s="13" t="n">
        <v>39604</v>
      </c>
      <c r="B620" s="14" t="n">
        <v>1.5402</v>
      </c>
      <c r="C620" t="inlineStr">
        <is>
          <t>После</t>
        </is>
      </c>
      <c r="D620" s="15">
        <f>B620/B619-1</f>
        <v/>
      </c>
      <c r="E620" s="16">
        <f>LN(B620/B619)</f>
        <v/>
      </c>
      <c r="F620" s="15">
        <f>_xlfn.STDEV.S(OFFSET(D620,-Описание!$B$12,0,Описание!$B$12,1))</f>
        <v/>
      </c>
      <c r="G620" s="15">
        <f>SQRT(Описание!$B$13*G619^2+(1-Описание!$B$13)*D619^2)</f>
        <v/>
      </c>
      <c r="H620" s="17">
        <f>Описание!$B$9*F620*Описание!$B$7</f>
        <v/>
      </c>
      <c r="I620" s="17">
        <f>Описание!$B$9*G620*Описание!$B$7</f>
        <v/>
      </c>
    </row>
    <row r="621">
      <c r="A621" s="13" t="n">
        <v>39605</v>
      </c>
      <c r="B621" s="14" t="n">
        <v>1.5597</v>
      </c>
      <c r="C621" t="inlineStr">
        <is>
          <t>После</t>
        </is>
      </c>
      <c r="D621" s="15">
        <f>B621/B620-1</f>
        <v/>
      </c>
      <c r="E621" s="16">
        <f>LN(B621/B620)</f>
        <v/>
      </c>
      <c r="F621" s="15">
        <f>_xlfn.STDEV.S(OFFSET(D621,-Описание!$B$12,0,Описание!$B$12,1))</f>
        <v/>
      </c>
      <c r="G621" s="15">
        <f>SQRT(Описание!$B$13*G620^2+(1-Описание!$B$13)*D620^2)</f>
        <v/>
      </c>
      <c r="H621" s="17">
        <f>Описание!$B$9*F621*Описание!$B$7</f>
        <v/>
      </c>
      <c r="I621" s="17">
        <f>Описание!$B$9*G621*Описание!$B$7</f>
        <v/>
      </c>
    </row>
    <row r="622">
      <c r="A622" s="13" t="n">
        <v>39608</v>
      </c>
      <c r="B622" s="14" t="n">
        <v>1.5784</v>
      </c>
      <c r="C622" t="inlineStr">
        <is>
          <t>После</t>
        </is>
      </c>
      <c r="D622" s="15">
        <f>B622/B621-1</f>
        <v/>
      </c>
      <c r="E622" s="16">
        <f>LN(B622/B621)</f>
        <v/>
      </c>
      <c r="F622" s="15">
        <f>_xlfn.STDEV.S(OFFSET(D622,-Описание!$B$12,0,Описание!$B$12,1))</f>
        <v/>
      </c>
      <c r="G622" s="15">
        <f>SQRT(Описание!$B$13*G621^2+(1-Описание!$B$13)*D621^2)</f>
        <v/>
      </c>
      <c r="H622" s="17">
        <f>Описание!$B$9*F622*Описание!$B$7</f>
        <v/>
      </c>
      <c r="I622" s="17">
        <f>Описание!$B$9*G622*Описание!$B$7</f>
        <v/>
      </c>
    </row>
    <row r="623">
      <c r="A623" s="13" t="n">
        <v>39609</v>
      </c>
      <c r="B623" s="14" t="n">
        <v>1.5526</v>
      </c>
      <c r="C623" t="inlineStr">
        <is>
          <t>После</t>
        </is>
      </c>
      <c r="D623" s="15">
        <f>B623/B622-1</f>
        <v/>
      </c>
      <c r="E623" s="16">
        <f>LN(B623/B622)</f>
        <v/>
      </c>
      <c r="F623" s="15">
        <f>_xlfn.STDEV.S(OFFSET(D623,-Описание!$B$12,0,Описание!$B$12,1))</f>
        <v/>
      </c>
      <c r="G623" s="15">
        <f>SQRT(Описание!$B$13*G622^2+(1-Описание!$B$13)*D622^2)</f>
        <v/>
      </c>
      <c r="H623" s="17">
        <f>Описание!$B$9*F623*Описание!$B$7</f>
        <v/>
      </c>
      <c r="I623" s="17">
        <f>Описание!$B$9*G623*Описание!$B$7</f>
        <v/>
      </c>
    </row>
    <row r="624">
      <c r="A624" s="13" t="n">
        <v>39610</v>
      </c>
      <c r="B624" s="14" t="n">
        <v>1.5515</v>
      </c>
      <c r="C624" t="inlineStr">
        <is>
          <t>После</t>
        </is>
      </c>
      <c r="D624" s="15">
        <f>B624/B623-1</f>
        <v/>
      </c>
      <c r="E624" s="16">
        <f>LN(B624/B623)</f>
        <v/>
      </c>
      <c r="F624" s="15">
        <f>_xlfn.STDEV.S(OFFSET(D624,-Описание!$B$12,0,Описание!$B$12,1))</f>
        <v/>
      </c>
      <c r="G624" s="15">
        <f>SQRT(Описание!$B$13*G623^2+(1-Описание!$B$13)*D623^2)</f>
        <v/>
      </c>
      <c r="H624" s="17">
        <f>Описание!$B$9*F624*Описание!$B$7</f>
        <v/>
      </c>
      <c r="I624" s="17">
        <f>Описание!$B$9*G624*Описание!$B$7</f>
        <v/>
      </c>
    </row>
    <row r="625">
      <c r="A625" s="13" t="n">
        <v>39611</v>
      </c>
      <c r="B625" s="14" t="n">
        <v>1.5417</v>
      </c>
      <c r="C625" t="inlineStr">
        <is>
          <t>После</t>
        </is>
      </c>
      <c r="D625" s="15">
        <f>B625/B624-1</f>
        <v/>
      </c>
      <c r="E625" s="16">
        <f>LN(B625/B624)</f>
        <v/>
      </c>
      <c r="F625" s="15">
        <f>_xlfn.STDEV.S(OFFSET(D625,-Описание!$B$12,0,Описание!$B$12,1))</f>
        <v/>
      </c>
      <c r="G625" s="15">
        <f>SQRT(Описание!$B$13*G624^2+(1-Описание!$B$13)*D624^2)</f>
        <v/>
      </c>
      <c r="H625" s="17">
        <f>Описание!$B$9*F625*Описание!$B$7</f>
        <v/>
      </c>
      <c r="I625" s="17">
        <f>Описание!$B$9*G625*Описание!$B$7</f>
        <v/>
      </c>
    </row>
    <row r="626">
      <c r="A626" s="13" t="n">
        <v>39612</v>
      </c>
      <c r="B626" s="14" t="n">
        <v>1.5336</v>
      </c>
      <c r="C626" t="inlineStr">
        <is>
          <t>После</t>
        </is>
      </c>
      <c r="D626" s="15">
        <f>B626/B625-1</f>
        <v/>
      </c>
      <c r="E626" s="16">
        <f>LN(B626/B625)</f>
        <v/>
      </c>
      <c r="F626" s="15">
        <f>_xlfn.STDEV.S(OFFSET(D626,-Описание!$B$12,0,Описание!$B$12,1))</f>
        <v/>
      </c>
      <c r="G626" s="15">
        <f>SQRT(Описание!$B$13*G625^2+(1-Описание!$B$13)*D625^2)</f>
        <v/>
      </c>
      <c r="H626" s="17">
        <f>Описание!$B$9*F626*Описание!$B$7</f>
        <v/>
      </c>
      <c r="I626" s="17">
        <f>Описание!$B$9*G626*Описание!$B$7</f>
        <v/>
      </c>
    </row>
    <row r="627">
      <c r="A627" s="13" t="n">
        <v>39615</v>
      </c>
      <c r="B627" s="14" t="n">
        <v>1.5459</v>
      </c>
      <c r="C627" t="inlineStr">
        <is>
          <t>После</t>
        </is>
      </c>
      <c r="D627" s="15">
        <f>B627/B626-1</f>
        <v/>
      </c>
      <c r="E627" s="16">
        <f>LN(B627/B626)</f>
        <v/>
      </c>
      <c r="F627" s="15">
        <f>_xlfn.STDEV.S(OFFSET(D627,-Описание!$B$12,0,Описание!$B$12,1))</f>
        <v/>
      </c>
      <c r="G627" s="15">
        <f>SQRT(Описание!$B$13*G626^2+(1-Описание!$B$13)*D626^2)</f>
        <v/>
      </c>
      <c r="H627" s="17">
        <f>Описание!$B$9*F627*Описание!$B$7</f>
        <v/>
      </c>
      <c r="I627" s="17">
        <f>Описание!$B$9*G627*Описание!$B$7</f>
        <v/>
      </c>
    </row>
    <row r="628">
      <c r="A628" s="13" t="n">
        <v>39616</v>
      </c>
      <c r="B628" s="14" t="n">
        <v>1.5477</v>
      </c>
      <c r="C628" t="inlineStr">
        <is>
          <t>После</t>
        </is>
      </c>
      <c r="D628" s="15">
        <f>B628/B627-1</f>
        <v/>
      </c>
      <c r="E628" s="16">
        <f>LN(B628/B627)</f>
        <v/>
      </c>
      <c r="F628" s="15">
        <f>_xlfn.STDEV.S(OFFSET(D628,-Описание!$B$12,0,Описание!$B$12,1))</f>
        <v/>
      </c>
      <c r="G628" s="15">
        <f>SQRT(Описание!$B$13*G627^2+(1-Описание!$B$13)*D627^2)</f>
        <v/>
      </c>
      <c r="H628" s="17">
        <f>Описание!$B$9*F628*Описание!$B$7</f>
        <v/>
      </c>
      <c r="I628" s="17">
        <f>Описание!$B$9*G628*Описание!$B$7</f>
        <v/>
      </c>
    </row>
    <row r="629">
      <c r="A629" s="13" t="n">
        <v>39617</v>
      </c>
      <c r="B629" s="14" t="n">
        <v>1.5493</v>
      </c>
      <c r="C629" t="inlineStr">
        <is>
          <t>После</t>
        </is>
      </c>
      <c r="D629" s="15">
        <f>B629/B628-1</f>
        <v/>
      </c>
      <c r="E629" s="16">
        <f>LN(B629/B628)</f>
        <v/>
      </c>
      <c r="F629" s="15">
        <f>_xlfn.STDEV.S(OFFSET(D629,-Описание!$B$12,0,Описание!$B$12,1))</f>
        <v/>
      </c>
      <c r="G629" s="15">
        <f>SQRT(Описание!$B$13*G628^2+(1-Описание!$B$13)*D628^2)</f>
        <v/>
      </c>
      <c r="H629" s="17">
        <f>Описание!$B$9*F629*Описание!$B$7</f>
        <v/>
      </c>
      <c r="I629" s="17">
        <f>Описание!$B$9*G629*Описание!$B$7</f>
        <v/>
      </c>
    </row>
    <row r="630">
      <c r="A630" s="13" t="n">
        <v>39618</v>
      </c>
      <c r="B630" s="14" t="n">
        <v>1.5481</v>
      </c>
      <c r="C630" t="inlineStr">
        <is>
          <t>После</t>
        </is>
      </c>
      <c r="D630" s="15">
        <f>B630/B629-1</f>
        <v/>
      </c>
      <c r="E630" s="16">
        <f>LN(B630/B629)</f>
        <v/>
      </c>
      <c r="F630" s="15">
        <f>_xlfn.STDEV.S(OFFSET(D630,-Описание!$B$12,0,Описание!$B$12,1))</f>
        <v/>
      </c>
      <c r="G630" s="15">
        <f>SQRT(Описание!$B$13*G629^2+(1-Описание!$B$13)*D629^2)</f>
        <v/>
      </c>
      <c r="H630" s="17">
        <f>Описание!$B$9*F630*Описание!$B$7</f>
        <v/>
      </c>
      <c r="I630" s="17">
        <f>Описание!$B$9*G630*Описание!$B$7</f>
        <v/>
      </c>
    </row>
    <row r="631">
      <c r="A631" s="13" t="n">
        <v>39619</v>
      </c>
      <c r="B631" s="14" t="n">
        <v>1.561</v>
      </c>
      <c r="C631" t="inlineStr">
        <is>
          <t>После</t>
        </is>
      </c>
      <c r="D631" s="15">
        <f>B631/B630-1</f>
        <v/>
      </c>
      <c r="E631" s="16">
        <f>LN(B631/B630)</f>
        <v/>
      </c>
      <c r="F631" s="15">
        <f>_xlfn.STDEV.S(OFFSET(D631,-Описание!$B$12,0,Описание!$B$12,1))</f>
        <v/>
      </c>
      <c r="G631" s="15">
        <f>SQRT(Описание!$B$13*G630^2+(1-Описание!$B$13)*D630^2)</f>
        <v/>
      </c>
      <c r="H631" s="17">
        <f>Описание!$B$9*F631*Описание!$B$7</f>
        <v/>
      </c>
      <c r="I631" s="17">
        <f>Описание!$B$9*G631*Описание!$B$7</f>
        <v/>
      </c>
    </row>
    <row r="632">
      <c r="A632" s="13" t="n">
        <v>39622</v>
      </c>
      <c r="B632" s="14" t="n">
        <v>1.5521</v>
      </c>
      <c r="C632" t="inlineStr">
        <is>
          <t>После</t>
        </is>
      </c>
      <c r="D632" s="15">
        <f>B632/B631-1</f>
        <v/>
      </c>
      <c r="E632" s="16">
        <f>LN(B632/B631)</f>
        <v/>
      </c>
      <c r="F632" s="15">
        <f>_xlfn.STDEV.S(OFFSET(D632,-Описание!$B$12,0,Описание!$B$12,1))</f>
        <v/>
      </c>
      <c r="G632" s="15">
        <f>SQRT(Описание!$B$13*G631^2+(1-Описание!$B$13)*D631^2)</f>
        <v/>
      </c>
      <c r="H632" s="17">
        <f>Описание!$B$9*F632*Описание!$B$7</f>
        <v/>
      </c>
      <c r="I632" s="17">
        <f>Описание!$B$9*G632*Описание!$B$7</f>
        <v/>
      </c>
    </row>
    <row r="633">
      <c r="A633" s="13" t="n">
        <v>39623</v>
      </c>
      <c r="B633" s="14" t="n">
        <v>1.5568</v>
      </c>
      <c r="C633" t="inlineStr">
        <is>
          <t>После</t>
        </is>
      </c>
      <c r="D633" s="15">
        <f>B633/B632-1</f>
        <v/>
      </c>
      <c r="E633" s="16">
        <f>LN(B633/B632)</f>
        <v/>
      </c>
      <c r="F633" s="15">
        <f>_xlfn.STDEV.S(OFFSET(D633,-Описание!$B$12,0,Описание!$B$12,1))</f>
        <v/>
      </c>
      <c r="G633" s="15">
        <f>SQRT(Описание!$B$13*G632^2+(1-Описание!$B$13)*D632^2)</f>
        <v/>
      </c>
      <c r="H633" s="17">
        <f>Описание!$B$9*F633*Описание!$B$7</f>
        <v/>
      </c>
      <c r="I633" s="17">
        <f>Описание!$B$9*G633*Описание!$B$7</f>
        <v/>
      </c>
    </row>
    <row r="634">
      <c r="A634" s="13" t="n">
        <v>39624</v>
      </c>
      <c r="B634" s="14" t="n">
        <v>1.5599</v>
      </c>
      <c r="C634" t="inlineStr">
        <is>
          <t>После</t>
        </is>
      </c>
      <c r="D634" s="15">
        <f>B634/B633-1</f>
        <v/>
      </c>
      <c r="E634" s="16">
        <f>LN(B634/B633)</f>
        <v/>
      </c>
      <c r="F634" s="15">
        <f>_xlfn.STDEV.S(OFFSET(D634,-Описание!$B$12,0,Описание!$B$12,1))</f>
        <v/>
      </c>
      <c r="G634" s="15">
        <f>SQRT(Описание!$B$13*G633^2+(1-Описание!$B$13)*D633^2)</f>
        <v/>
      </c>
      <c r="H634" s="17">
        <f>Описание!$B$9*F634*Описание!$B$7</f>
        <v/>
      </c>
      <c r="I634" s="17">
        <f>Описание!$B$9*G634*Описание!$B$7</f>
        <v/>
      </c>
    </row>
    <row r="635">
      <c r="A635" s="13" t="n">
        <v>39625</v>
      </c>
      <c r="B635" s="14" t="n">
        <v>1.5731</v>
      </c>
      <c r="C635" t="inlineStr">
        <is>
          <t>После</t>
        </is>
      </c>
      <c r="D635" s="15">
        <f>B635/B634-1</f>
        <v/>
      </c>
      <c r="E635" s="16">
        <f>LN(B635/B634)</f>
        <v/>
      </c>
      <c r="F635" s="15">
        <f>_xlfn.STDEV.S(OFFSET(D635,-Описание!$B$12,0,Описание!$B$12,1))</f>
        <v/>
      </c>
      <c r="G635" s="15">
        <f>SQRT(Описание!$B$13*G634^2+(1-Описание!$B$13)*D634^2)</f>
        <v/>
      </c>
      <c r="H635" s="17">
        <f>Описание!$B$9*F635*Описание!$B$7</f>
        <v/>
      </c>
      <c r="I635" s="17">
        <f>Описание!$B$9*G635*Описание!$B$7</f>
        <v/>
      </c>
    </row>
    <row r="636">
      <c r="A636" s="13" t="n">
        <v>39626</v>
      </c>
      <c r="B636" s="14" t="n">
        <v>1.5748</v>
      </c>
      <c r="C636" t="inlineStr">
        <is>
          <t>После</t>
        </is>
      </c>
      <c r="D636" s="15">
        <f>B636/B635-1</f>
        <v/>
      </c>
      <c r="E636" s="16">
        <f>LN(B636/B635)</f>
        <v/>
      </c>
      <c r="F636" s="15">
        <f>_xlfn.STDEV.S(OFFSET(D636,-Описание!$B$12,0,Описание!$B$12,1))</f>
        <v/>
      </c>
      <c r="G636" s="15">
        <f>SQRT(Описание!$B$13*G635^2+(1-Описание!$B$13)*D635^2)</f>
        <v/>
      </c>
      <c r="H636" s="17">
        <f>Описание!$B$9*F636*Описание!$B$7</f>
        <v/>
      </c>
      <c r="I636" s="17">
        <f>Описание!$B$9*G636*Описание!$B$7</f>
        <v/>
      </c>
    </row>
    <row r="637">
      <c r="A637" s="13" t="n">
        <v>39629</v>
      </c>
      <c r="B637" s="14" t="n">
        <v>1.5764</v>
      </c>
      <c r="C637" t="inlineStr">
        <is>
          <t>После</t>
        </is>
      </c>
      <c r="D637" s="15">
        <f>B637/B636-1</f>
        <v/>
      </c>
      <c r="E637" s="16">
        <f>LN(B637/B636)</f>
        <v/>
      </c>
      <c r="F637" s="15">
        <f>_xlfn.STDEV.S(OFFSET(D637,-Описание!$B$12,0,Описание!$B$12,1))</f>
        <v/>
      </c>
      <c r="G637" s="15">
        <f>SQRT(Описание!$B$13*G636^2+(1-Описание!$B$13)*D636^2)</f>
        <v/>
      </c>
      <c r="H637" s="17">
        <f>Описание!$B$9*F637*Описание!$B$7</f>
        <v/>
      </c>
      <c r="I637" s="17">
        <f>Описание!$B$9*G637*Описание!$B$7</f>
        <v/>
      </c>
    </row>
    <row r="638">
      <c r="A638" s="13" t="n">
        <v>39630</v>
      </c>
      <c r="B638" s="14" t="n">
        <v>1.5775</v>
      </c>
      <c r="C638" t="inlineStr">
        <is>
          <t>После</t>
        </is>
      </c>
      <c r="D638" s="15">
        <f>B638/B637-1</f>
        <v/>
      </c>
      <c r="E638" s="16">
        <f>LN(B638/B637)</f>
        <v/>
      </c>
      <c r="F638" s="15">
        <f>_xlfn.STDEV.S(OFFSET(D638,-Описание!$B$12,0,Описание!$B$12,1))</f>
        <v/>
      </c>
      <c r="G638" s="15">
        <f>SQRT(Описание!$B$13*G637^2+(1-Описание!$B$13)*D637^2)</f>
        <v/>
      </c>
      <c r="H638" s="17">
        <f>Описание!$B$9*F638*Описание!$B$7</f>
        <v/>
      </c>
      <c r="I638" s="17">
        <f>Описание!$B$9*G638*Описание!$B$7</f>
        <v/>
      </c>
    </row>
    <row r="639">
      <c r="A639" s="13" t="n">
        <v>39631</v>
      </c>
      <c r="B639" s="14" t="n">
        <v>1.5806</v>
      </c>
      <c r="C639" t="inlineStr">
        <is>
          <t>После</t>
        </is>
      </c>
      <c r="D639" s="15">
        <f>B639/B638-1</f>
        <v/>
      </c>
      <c r="E639" s="16">
        <f>LN(B639/B638)</f>
        <v/>
      </c>
      <c r="F639" s="15">
        <f>_xlfn.STDEV.S(OFFSET(D639,-Описание!$B$12,0,Описание!$B$12,1))</f>
        <v/>
      </c>
      <c r="G639" s="15">
        <f>SQRT(Описание!$B$13*G638^2+(1-Описание!$B$13)*D638^2)</f>
        <v/>
      </c>
      <c r="H639" s="17">
        <f>Описание!$B$9*F639*Описание!$B$7</f>
        <v/>
      </c>
      <c r="I639" s="17">
        <f>Описание!$B$9*G639*Описание!$B$7</f>
        <v/>
      </c>
    </row>
    <row r="640">
      <c r="A640" s="13" t="n">
        <v>39632</v>
      </c>
      <c r="B640" s="14" t="n">
        <v>1.5885</v>
      </c>
      <c r="C640" t="inlineStr">
        <is>
          <t>После</t>
        </is>
      </c>
      <c r="D640" s="15">
        <f>B640/B639-1</f>
        <v/>
      </c>
      <c r="E640" s="16">
        <f>LN(B640/B639)</f>
        <v/>
      </c>
      <c r="F640" s="15">
        <f>_xlfn.STDEV.S(OFFSET(D640,-Описание!$B$12,0,Описание!$B$12,1))</f>
        <v/>
      </c>
      <c r="G640" s="15">
        <f>SQRT(Описание!$B$13*G639^2+(1-Описание!$B$13)*D639^2)</f>
        <v/>
      </c>
      <c r="H640" s="17">
        <f>Описание!$B$9*F640*Описание!$B$7</f>
        <v/>
      </c>
      <c r="I640" s="17">
        <f>Описание!$B$9*G640*Описание!$B$7</f>
        <v/>
      </c>
    </row>
    <row r="641">
      <c r="A641" s="13" t="n">
        <v>39633</v>
      </c>
      <c r="B641" s="14" t="n">
        <v>1.5671</v>
      </c>
      <c r="C641" t="inlineStr">
        <is>
          <t>После</t>
        </is>
      </c>
      <c r="D641" s="15">
        <f>B641/B640-1</f>
        <v/>
      </c>
      <c r="E641" s="16">
        <f>LN(B641/B640)</f>
        <v/>
      </c>
      <c r="F641" s="15">
        <f>_xlfn.STDEV.S(OFFSET(D641,-Описание!$B$12,0,Описание!$B$12,1))</f>
        <v/>
      </c>
      <c r="G641" s="15">
        <f>SQRT(Описание!$B$13*G640^2+(1-Описание!$B$13)*D640^2)</f>
        <v/>
      </c>
      <c r="H641" s="17">
        <f>Описание!$B$9*F641*Описание!$B$7</f>
        <v/>
      </c>
      <c r="I641" s="17">
        <f>Описание!$B$9*G641*Описание!$B$7</f>
        <v/>
      </c>
    </row>
    <row r="642">
      <c r="A642" s="13" t="n">
        <v>39636</v>
      </c>
      <c r="B642" s="14" t="n">
        <v>1.5651</v>
      </c>
      <c r="C642" t="inlineStr">
        <is>
          <t>После</t>
        </is>
      </c>
      <c r="D642" s="15">
        <f>B642/B641-1</f>
        <v/>
      </c>
      <c r="E642" s="16">
        <f>LN(B642/B641)</f>
        <v/>
      </c>
      <c r="F642" s="15">
        <f>_xlfn.STDEV.S(OFFSET(D642,-Описание!$B$12,0,Описание!$B$12,1))</f>
        <v/>
      </c>
      <c r="G642" s="15">
        <f>SQRT(Описание!$B$13*G641^2+(1-Описание!$B$13)*D641^2)</f>
        <v/>
      </c>
      <c r="H642" s="17">
        <f>Описание!$B$9*F642*Описание!$B$7</f>
        <v/>
      </c>
      <c r="I642" s="17">
        <f>Описание!$B$9*G642*Описание!$B$7</f>
        <v/>
      </c>
    </row>
    <row r="643">
      <c r="A643" s="13" t="n">
        <v>39637</v>
      </c>
      <c r="B643" s="14" t="n">
        <v>1.5687</v>
      </c>
      <c r="C643" t="inlineStr">
        <is>
          <t>После</t>
        </is>
      </c>
      <c r="D643" s="15">
        <f>B643/B642-1</f>
        <v/>
      </c>
      <c r="E643" s="16">
        <f>LN(B643/B642)</f>
        <v/>
      </c>
      <c r="F643" s="15">
        <f>_xlfn.STDEV.S(OFFSET(D643,-Описание!$B$12,0,Описание!$B$12,1))</f>
        <v/>
      </c>
      <c r="G643" s="15">
        <f>SQRT(Описание!$B$13*G642^2+(1-Описание!$B$13)*D642^2)</f>
        <v/>
      </c>
      <c r="H643" s="17">
        <f>Описание!$B$9*F643*Описание!$B$7</f>
        <v/>
      </c>
      <c r="I643" s="17">
        <f>Описание!$B$9*G643*Описание!$B$7</f>
        <v/>
      </c>
    </row>
    <row r="644">
      <c r="A644" s="13" t="n">
        <v>39638</v>
      </c>
      <c r="B644" s="14" t="n">
        <v>1.5715</v>
      </c>
      <c r="C644" t="inlineStr">
        <is>
          <t>После</t>
        </is>
      </c>
      <c r="D644" s="15">
        <f>B644/B643-1</f>
        <v/>
      </c>
      <c r="E644" s="16">
        <f>LN(B644/B643)</f>
        <v/>
      </c>
      <c r="F644" s="15">
        <f>_xlfn.STDEV.S(OFFSET(D644,-Описание!$B$12,0,Описание!$B$12,1))</f>
        <v/>
      </c>
      <c r="G644" s="15">
        <f>SQRT(Описание!$B$13*G643^2+(1-Описание!$B$13)*D643^2)</f>
        <v/>
      </c>
      <c r="H644" s="17">
        <f>Описание!$B$9*F644*Описание!$B$7</f>
        <v/>
      </c>
      <c r="I644" s="17">
        <f>Описание!$B$9*G644*Описание!$B$7</f>
        <v/>
      </c>
    </row>
    <row r="645">
      <c r="A645" s="13" t="n">
        <v>39639</v>
      </c>
      <c r="B645" s="14" t="n">
        <v>1.5708</v>
      </c>
      <c r="C645" t="inlineStr">
        <is>
          <t>После</t>
        </is>
      </c>
      <c r="D645" s="15">
        <f>B645/B644-1</f>
        <v/>
      </c>
      <c r="E645" s="16">
        <f>LN(B645/B644)</f>
        <v/>
      </c>
      <c r="F645" s="15">
        <f>_xlfn.STDEV.S(OFFSET(D645,-Описание!$B$12,0,Описание!$B$12,1))</f>
        <v/>
      </c>
      <c r="G645" s="15">
        <f>SQRT(Описание!$B$13*G644^2+(1-Описание!$B$13)*D644^2)</f>
        <v/>
      </c>
      <c r="H645" s="17">
        <f>Описание!$B$9*F645*Описание!$B$7</f>
        <v/>
      </c>
      <c r="I645" s="17">
        <f>Описание!$B$9*G645*Описание!$B$7</f>
        <v/>
      </c>
    </row>
    <row r="646">
      <c r="A646" s="13" t="n">
        <v>39640</v>
      </c>
      <c r="B646" s="14" t="n">
        <v>1.5835</v>
      </c>
      <c r="C646" t="inlineStr">
        <is>
          <t>После</t>
        </is>
      </c>
      <c r="D646" s="15">
        <f>B646/B645-1</f>
        <v/>
      </c>
      <c r="E646" s="16">
        <f>LN(B646/B645)</f>
        <v/>
      </c>
      <c r="F646" s="15">
        <f>_xlfn.STDEV.S(OFFSET(D646,-Описание!$B$12,0,Описание!$B$12,1))</f>
        <v/>
      </c>
      <c r="G646" s="15">
        <f>SQRT(Описание!$B$13*G645^2+(1-Описание!$B$13)*D645^2)</f>
        <v/>
      </c>
      <c r="H646" s="17">
        <f>Описание!$B$9*F646*Описание!$B$7</f>
        <v/>
      </c>
      <c r="I646" s="17">
        <f>Описание!$B$9*G646*Описание!$B$7</f>
        <v/>
      </c>
    </row>
    <row r="647">
      <c r="A647" s="13" t="n">
        <v>39643</v>
      </c>
      <c r="B647" s="14" t="n">
        <v>1.5847</v>
      </c>
      <c r="C647" t="inlineStr">
        <is>
          <t>После</t>
        </is>
      </c>
      <c r="D647" s="15">
        <f>B647/B646-1</f>
        <v/>
      </c>
      <c r="E647" s="16">
        <f>LN(B647/B646)</f>
        <v/>
      </c>
      <c r="F647" s="15">
        <f>_xlfn.STDEV.S(OFFSET(D647,-Описание!$B$12,0,Описание!$B$12,1))</f>
        <v/>
      </c>
      <c r="G647" s="15">
        <f>SQRT(Описание!$B$13*G646^2+(1-Описание!$B$13)*D646^2)</f>
        <v/>
      </c>
      <c r="H647" s="17">
        <f>Описание!$B$9*F647*Описание!$B$7</f>
        <v/>
      </c>
      <c r="I647" s="17">
        <f>Описание!$B$9*G647*Описание!$B$7</f>
        <v/>
      </c>
    </row>
    <row r="648">
      <c r="A648" s="13" t="n">
        <v>39644</v>
      </c>
      <c r="B648" s="14" t="n">
        <v>1.599</v>
      </c>
      <c r="C648" t="inlineStr">
        <is>
          <t>После</t>
        </is>
      </c>
      <c r="D648" s="15">
        <f>B648/B647-1</f>
        <v/>
      </c>
      <c r="E648" s="16">
        <f>LN(B648/B647)</f>
        <v/>
      </c>
      <c r="F648" s="15">
        <f>_xlfn.STDEV.S(OFFSET(D648,-Описание!$B$12,0,Описание!$B$12,1))</f>
        <v/>
      </c>
      <c r="G648" s="15">
        <f>SQRT(Описание!$B$13*G647^2+(1-Описание!$B$13)*D647^2)</f>
        <v/>
      </c>
      <c r="H648" s="17">
        <f>Описание!$B$9*F648*Описание!$B$7</f>
        <v/>
      </c>
      <c r="I648" s="17">
        <f>Описание!$B$9*G648*Описание!$B$7</f>
        <v/>
      </c>
    </row>
    <row r="649">
      <c r="A649" s="13" t="n">
        <v>39645</v>
      </c>
      <c r="B649" s="14" t="n">
        <v>1.5888</v>
      </c>
      <c r="C649" t="inlineStr">
        <is>
          <t>После</t>
        </is>
      </c>
      <c r="D649" s="15">
        <f>B649/B648-1</f>
        <v/>
      </c>
      <c r="E649" s="16">
        <f>LN(B649/B648)</f>
        <v/>
      </c>
      <c r="F649" s="15">
        <f>_xlfn.STDEV.S(OFFSET(D649,-Описание!$B$12,0,Описание!$B$12,1))</f>
        <v/>
      </c>
      <c r="G649" s="15">
        <f>SQRT(Описание!$B$13*G648^2+(1-Описание!$B$13)*D648^2)</f>
        <v/>
      </c>
      <c r="H649" s="17">
        <f>Описание!$B$9*F649*Описание!$B$7</f>
        <v/>
      </c>
      <c r="I649" s="17">
        <f>Описание!$B$9*G649*Описание!$B$7</f>
        <v/>
      </c>
    </row>
    <row r="650">
      <c r="A650" s="13" t="n">
        <v>39646</v>
      </c>
      <c r="B650" s="14" t="n">
        <v>1.5849</v>
      </c>
      <c r="C650" t="inlineStr">
        <is>
          <t>После</t>
        </is>
      </c>
      <c r="D650" s="15">
        <f>B650/B649-1</f>
        <v/>
      </c>
      <c r="E650" s="16">
        <f>LN(B650/B649)</f>
        <v/>
      </c>
      <c r="F650" s="15">
        <f>_xlfn.STDEV.S(OFFSET(D650,-Описание!$B$12,0,Описание!$B$12,1))</f>
        <v/>
      </c>
      <c r="G650" s="15">
        <f>SQRT(Описание!$B$13*G649^2+(1-Описание!$B$13)*D649^2)</f>
        <v/>
      </c>
      <c r="H650" s="17">
        <f>Описание!$B$9*F650*Описание!$B$7</f>
        <v/>
      </c>
      <c r="I650" s="17">
        <f>Описание!$B$9*G650*Описание!$B$7</f>
        <v/>
      </c>
    </row>
    <row r="651">
      <c r="A651" s="13" t="n">
        <v>39647</v>
      </c>
      <c r="B651" s="14" t="n">
        <v>1.5816</v>
      </c>
      <c r="C651" t="inlineStr">
        <is>
          <t>После</t>
        </is>
      </c>
      <c r="D651" s="15">
        <f>B651/B650-1</f>
        <v/>
      </c>
      <c r="E651" s="16">
        <f>LN(B651/B650)</f>
        <v/>
      </c>
      <c r="F651" s="15">
        <f>_xlfn.STDEV.S(OFFSET(D651,-Описание!$B$12,0,Описание!$B$12,1))</f>
        <v/>
      </c>
      <c r="G651" s="15">
        <f>SQRT(Описание!$B$13*G650^2+(1-Описание!$B$13)*D650^2)</f>
        <v/>
      </c>
      <c r="H651" s="17">
        <f>Описание!$B$9*F651*Описание!$B$7</f>
        <v/>
      </c>
      <c r="I651" s="17">
        <f>Описание!$B$9*G651*Описание!$B$7</f>
        <v/>
      </c>
    </row>
    <row r="652">
      <c r="A652" s="13" t="n">
        <v>39650</v>
      </c>
      <c r="B652" s="14" t="n">
        <v>1.5858</v>
      </c>
      <c r="C652" t="inlineStr">
        <is>
          <t>После</t>
        </is>
      </c>
      <c r="D652" s="15">
        <f>B652/B651-1</f>
        <v/>
      </c>
      <c r="E652" s="16">
        <f>LN(B652/B651)</f>
        <v/>
      </c>
      <c r="F652" s="15">
        <f>_xlfn.STDEV.S(OFFSET(D652,-Описание!$B$12,0,Описание!$B$12,1))</f>
        <v/>
      </c>
      <c r="G652" s="15">
        <f>SQRT(Описание!$B$13*G651^2+(1-Описание!$B$13)*D651^2)</f>
        <v/>
      </c>
      <c r="H652" s="17">
        <f>Описание!$B$9*F652*Описание!$B$7</f>
        <v/>
      </c>
      <c r="I652" s="17">
        <f>Описание!$B$9*G652*Описание!$B$7</f>
        <v/>
      </c>
    </row>
    <row r="653">
      <c r="A653" s="13" t="n">
        <v>39651</v>
      </c>
      <c r="B653" s="14" t="n">
        <v>1.5919</v>
      </c>
      <c r="C653" t="inlineStr">
        <is>
          <t>После</t>
        </is>
      </c>
      <c r="D653" s="15">
        <f>B653/B652-1</f>
        <v/>
      </c>
      <c r="E653" s="16">
        <f>LN(B653/B652)</f>
        <v/>
      </c>
      <c r="F653" s="15">
        <f>_xlfn.STDEV.S(OFFSET(D653,-Описание!$B$12,0,Описание!$B$12,1))</f>
        <v/>
      </c>
      <c r="G653" s="15">
        <f>SQRT(Описание!$B$13*G652^2+(1-Описание!$B$13)*D652^2)</f>
        <v/>
      </c>
      <c r="H653" s="17">
        <f>Описание!$B$9*F653*Описание!$B$7</f>
        <v/>
      </c>
      <c r="I653" s="17">
        <f>Описание!$B$9*G653*Описание!$B$7</f>
        <v/>
      </c>
    </row>
    <row r="654">
      <c r="A654" s="13" t="n">
        <v>39652</v>
      </c>
      <c r="B654" s="14" t="n">
        <v>1.5741</v>
      </c>
      <c r="C654" t="inlineStr">
        <is>
          <t>После</t>
        </is>
      </c>
      <c r="D654" s="15">
        <f>B654/B653-1</f>
        <v/>
      </c>
      <c r="E654" s="16">
        <f>LN(B654/B653)</f>
        <v/>
      </c>
      <c r="F654" s="15">
        <f>_xlfn.STDEV.S(OFFSET(D654,-Описание!$B$12,0,Описание!$B$12,1))</f>
        <v/>
      </c>
      <c r="G654" s="15">
        <f>SQRT(Описание!$B$13*G653^2+(1-Описание!$B$13)*D653^2)</f>
        <v/>
      </c>
      <c r="H654" s="17">
        <f>Описание!$B$9*F654*Описание!$B$7</f>
        <v/>
      </c>
      <c r="I654" s="17">
        <f>Описание!$B$9*G654*Описание!$B$7</f>
        <v/>
      </c>
    </row>
    <row r="655">
      <c r="A655" s="13" t="n">
        <v>39653</v>
      </c>
      <c r="B655" s="14" t="n">
        <v>1.5677</v>
      </c>
      <c r="C655" t="inlineStr">
        <is>
          <t>После</t>
        </is>
      </c>
      <c r="D655" s="15">
        <f>B655/B654-1</f>
        <v/>
      </c>
      <c r="E655" s="16">
        <f>LN(B655/B654)</f>
        <v/>
      </c>
      <c r="F655" s="15">
        <f>_xlfn.STDEV.S(OFFSET(D655,-Описание!$B$12,0,Описание!$B$12,1))</f>
        <v/>
      </c>
      <c r="G655" s="15">
        <f>SQRT(Описание!$B$13*G654^2+(1-Описание!$B$13)*D654^2)</f>
        <v/>
      </c>
      <c r="H655" s="17">
        <f>Описание!$B$9*F655*Описание!$B$7</f>
        <v/>
      </c>
      <c r="I655" s="17">
        <f>Описание!$B$9*G655*Описание!$B$7</f>
        <v/>
      </c>
    </row>
    <row r="656">
      <c r="A656" s="13" t="n">
        <v>39654</v>
      </c>
      <c r="B656" s="14" t="n">
        <v>1.5734</v>
      </c>
      <c r="C656" t="inlineStr">
        <is>
          <t>После</t>
        </is>
      </c>
      <c r="D656" s="15">
        <f>B656/B655-1</f>
        <v/>
      </c>
      <c r="E656" s="16">
        <f>LN(B656/B655)</f>
        <v/>
      </c>
      <c r="F656" s="15">
        <f>_xlfn.STDEV.S(OFFSET(D656,-Описание!$B$12,0,Описание!$B$12,1))</f>
        <v/>
      </c>
      <c r="G656" s="15">
        <f>SQRT(Описание!$B$13*G655^2+(1-Описание!$B$13)*D655^2)</f>
        <v/>
      </c>
      <c r="H656" s="17">
        <f>Описание!$B$9*F656*Описание!$B$7</f>
        <v/>
      </c>
      <c r="I656" s="17">
        <f>Описание!$B$9*G656*Описание!$B$7</f>
        <v/>
      </c>
    </row>
    <row r="657">
      <c r="A657" s="13" t="n">
        <v>39657</v>
      </c>
      <c r="B657" s="14" t="n">
        <v>1.5746</v>
      </c>
      <c r="C657" t="inlineStr">
        <is>
          <t>После</t>
        </is>
      </c>
      <c r="D657" s="15">
        <f>B657/B656-1</f>
        <v/>
      </c>
      <c r="E657" s="16">
        <f>LN(B657/B656)</f>
        <v/>
      </c>
      <c r="F657" s="15">
        <f>_xlfn.STDEV.S(OFFSET(D657,-Описание!$B$12,0,Описание!$B$12,1))</f>
        <v/>
      </c>
      <c r="G657" s="15">
        <f>SQRT(Описание!$B$13*G656^2+(1-Описание!$B$13)*D656^2)</f>
        <v/>
      </c>
      <c r="H657" s="17">
        <f>Описание!$B$9*F657*Описание!$B$7</f>
        <v/>
      </c>
      <c r="I657" s="17">
        <f>Описание!$B$9*G657*Описание!$B$7</f>
        <v/>
      </c>
    </row>
    <row r="658">
      <c r="A658" s="13" t="n">
        <v>39658</v>
      </c>
      <c r="B658" s="14" t="n">
        <v>1.5705</v>
      </c>
      <c r="C658" t="inlineStr">
        <is>
          <t>После</t>
        </is>
      </c>
      <c r="D658" s="15">
        <f>B658/B657-1</f>
        <v/>
      </c>
      <c r="E658" s="16">
        <f>LN(B658/B657)</f>
        <v/>
      </c>
      <c r="F658" s="15">
        <f>_xlfn.STDEV.S(OFFSET(D658,-Описание!$B$12,0,Описание!$B$12,1))</f>
        <v/>
      </c>
      <c r="G658" s="15">
        <f>SQRT(Описание!$B$13*G657^2+(1-Описание!$B$13)*D657^2)</f>
        <v/>
      </c>
      <c r="H658" s="17">
        <f>Описание!$B$9*F658*Описание!$B$7</f>
        <v/>
      </c>
      <c r="I658" s="17">
        <f>Описание!$B$9*G658*Описание!$B$7</f>
        <v/>
      </c>
    </row>
    <row r="659">
      <c r="A659" s="13" t="n">
        <v>39659</v>
      </c>
      <c r="B659" s="14" t="n">
        <v>1.5589</v>
      </c>
      <c r="C659" t="inlineStr">
        <is>
          <t>После</t>
        </is>
      </c>
      <c r="D659" s="15">
        <f>B659/B658-1</f>
        <v/>
      </c>
      <c r="E659" s="16">
        <f>LN(B659/B658)</f>
        <v/>
      </c>
      <c r="F659" s="15">
        <f>_xlfn.STDEV.S(OFFSET(D659,-Описание!$B$12,0,Описание!$B$12,1))</f>
        <v/>
      </c>
      <c r="G659" s="15">
        <f>SQRT(Описание!$B$13*G658^2+(1-Описание!$B$13)*D658^2)</f>
        <v/>
      </c>
      <c r="H659" s="17">
        <f>Описание!$B$9*F659*Описание!$B$7</f>
        <v/>
      </c>
      <c r="I659" s="17">
        <f>Описание!$B$9*G659*Описание!$B$7</f>
        <v/>
      </c>
    </row>
    <row r="660">
      <c r="A660" s="13" t="n">
        <v>39660</v>
      </c>
      <c r="B660" s="14" t="n">
        <v>1.5611</v>
      </c>
      <c r="C660" t="inlineStr">
        <is>
          <t>После</t>
        </is>
      </c>
      <c r="D660" s="15">
        <f>B660/B659-1</f>
        <v/>
      </c>
      <c r="E660" s="16">
        <f>LN(B660/B659)</f>
        <v/>
      </c>
      <c r="F660" s="15">
        <f>_xlfn.STDEV.S(OFFSET(D660,-Описание!$B$12,0,Описание!$B$12,1))</f>
        <v/>
      </c>
      <c r="G660" s="15">
        <f>SQRT(Описание!$B$13*G659^2+(1-Описание!$B$13)*D659^2)</f>
        <v/>
      </c>
      <c r="H660" s="17">
        <f>Описание!$B$9*F660*Описание!$B$7</f>
        <v/>
      </c>
      <c r="I660" s="17">
        <f>Описание!$B$9*G660*Описание!$B$7</f>
        <v/>
      </c>
    </row>
    <row r="661">
      <c r="A661" s="13" t="n">
        <v>39661</v>
      </c>
      <c r="B661" s="14" t="n">
        <v>1.5574</v>
      </c>
      <c r="C661" t="inlineStr">
        <is>
          <t>После</t>
        </is>
      </c>
      <c r="D661" s="15">
        <f>B661/B660-1</f>
        <v/>
      </c>
      <c r="E661" s="16">
        <f>LN(B661/B660)</f>
        <v/>
      </c>
      <c r="F661" s="15">
        <f>_xlfn.STDEV.S(OFFSET(D661,-Описание!$B$12,0,Описание!$B$12,1))</f>
        <v/>
      </c>
      <c r="G661" s="15">
        <f>SQRT(Описание!$B$13*G660^2+(1-Описание!$B$13)*D660^2)</f>
        <v/>
      </c>
      <c r="H661" s="17">
        <f>Описание!$B$9*F661*Описание!$B$7</f>
        <v/>
      </c>
      <c r="I661" s="17">
        <f>Описание!$B$9*G661*Описание!$B$7</f>
        <v/>
      </c>
    </row>
    <row r="662">
      <c r="A662" s="13" t="n">
        <v>39664</v>
      </c>
      <c r="B662" s="14" t="n">
        <v>1.5566</v>
      </c>
      <c r="C662" t="inlineStr">
        <is>
          <t>После</t>
        </is>
      </c>
      <c r="D662" s="15">
        <f>B662/B661-1</f>
        <v/>
      </c>
      <c r="E662" s="16">
        <f>LN(B662/B661)</f>
        <v/>
      </c>
      <c r="F662" s="15">
        <f>_xlfn.STDEV.S(OFFSET(D662,-Описание!$B$12,0,Описание!$B$12,1))</f>
        <v/>
      </c>
      <c r="G662" s="15">
        <f>SQRT(Описание!$B$13*G661^2+(1-Описание!$B$13)*D661^2)</f>
        <v/>
      </c>
      <c r="H662" s="17">
        <f>Описание!$B$9*F662*Описание!$B$7</f>
        <v/>
      </c>
      <c r="I662" s="17">
        <f>Описание!$B$9*G662*Описание!$B$7</f>
        <v/>
      </c>
    </row>
    <row r="663">
      <c r="A663" s="13" t="n">
        <v>39665</v>
      </c>
      <c r="B663" s="14" t="n">
        <v>1.5487</v>
      </c>
      <c r="C663" t="inlineStr">
        <is>
          <t>После</t>
        </is>
      </c>
      <c r="D663" s="15">
        <f>B663/B662-1</f>
        <v/>
      </c>
      <c r="E663" s="16">
        <f>LN(B663/B662)</f>
        <v/>
      </c>
      <c r="F663" s="15">
        <f>_xlfn.STDEV.S(OFFSET(D663,-Описание!$B$12,0,Описание!$B$12,1))</f>
        <v/>
      </c>
      <c r="G663" s="15">
        <f>SQRT(Описание!$B$13*G662^2+(1-Описание!$B$13)*D662^2)</f>
        <v/>
      </c>
      <c r="H663" s="17">
        <f>Описание!$B$9*F663*Описание!$B$7</f>
        <v/>
      </c>
      <c r="I663" s="17">
        <f>Описание!$B$9*G663*Описание!$B$7</f>
        <v/>
      </c>
    </row>
    <row r="664">
      <c r="A664" s="13" t="n">
        <v>39666</v>
      </c>
      <c r="B664" s="14" t="n">
        <v>1.5478</v>
      </c>
      <c r="C664" t="inlineStr">
        <is>
          <t>После</t>
        </is>
      </c>
      <c r="D664" s="15">
        <f>B664/B663-1</f>
        <v/>
      </c>
      <c r="E664" s="16">
        <f>LN(B664/B663)</f>
        <v/>
      </c>
      <c r="F664" s="15">
        <f>_xlfn.STDEV.S(OFFSET(D664,-Описание!$B$12,0,Описание!$B$12,1))</f>
        <v/>
      </c>
      <c r="G664" s="15">
        <f>SQRT(Описание!$B$13*G663^2+(1-Описание!$B$13)*D663^2)</f>
        <v/>
      </c>
      <c r="H664" s="17">
        <f>Описание!$B$9*F664*Описание!$B$7</f>
        <v/>
      </c>
      <c r="I664" s="17">
        <f>Описание!$B$9*G664*Описание!$B$7</f>
        <v/>
      </c>
    </row>
    <row r="665">
      <c r="A665" s="13" t="n">
        <v>39667</v>
      </c>
      <c r="B665" s="14" t="n">
        <v>1.5471</v>
      </c>
      <c r="C665" t="inlineStr">
        <is>
          <t>После</t>
        </is>
      </c>
      <c r="D665" s="15">
        <f>B665/B664-1</f>
        <v/>
      </c>
      <c r="E665" s="16">
        <f>LN(B665/B664)</f>
        <v/>
      </c>
      <c r="F665" s="15">
        <f>_xlfn.STDEV.S(OFFSET(D665,-Описание!$B$12,0,Описание!$B$12,1))</f>
        <v/>
      </c>
      <c r="G665" s="15">
        <f>SQRT(Описание!$B$13*G664^2+(1-Описание!$B$13)*D664^2)</f>
        <v/>
      </c>
      <c r="H665" s="17">
        <f>Описание!$B$9*F665*Описание!$B$7</f>
        <v/>
      </c>
      <c r="I665" s="17">
        <f>Описание!$B$9*G665*Описание!$B$7</f>
        <v/>
      </c>
    </row>
    <row r="666">
      <c r="A666" s="13" t="n">
        <v>39668</v>
      </c>
      <c r="B666" s="14" t="n">
        <v>1.5074</v>
      </c>
      <c r="C666" t="inlineStr">
        <is>
          <t>После</t>
        </is>
      </c>
      <c r="D666" s="15">
        <f>B666/B665-1</f>
        <v/>
      </c>
      <c r="E666" s="16">
        <f>LN(B666/B665)</f>
        <v/>
      </c>
      <c r="F666" s="15">
        <f>_xlfn.STDEV.S(OFFSET(D666,-Описание!$B$12,0,Описание!$B$12,1))</f>
        <v/>
      </c>
      <c r="G666" s="15">
        <f>SQRT(Описание!$B$13*G665^2+(1-Описание!$B$13)*D665^2)</f>
        <v/>
      </c>
      <c r="H666" s="17">
        <f>Описание!$B$9*F666*Описание!$B$7</f>
        <v/>
      </c>
      <c r="I666" s="17">
        <f>Описание!$B$9*G666*Описание!$B$7</f>
        <v/>
      </c>
    </row>
    <row r="667">
      <c r="A667" s="13" t="n">
        <v>39671</v>
      </c>
      <c r="B667" s="14" t="n">
        <v>1.5012</v>
      </c>
      <c r="C667" t="inlineStr">
        <is>
          <t>После</t>
        </is>
      </c>
      <c r="D667" s="15">
        <f>B667/B666-1</f>
        <v/>
      </c>
      <c r="E667" s="16">
        <f>LN(B667/B666)</f>
        <v/>
      </c>
      <c r="F667" s="15">
        <f>_xlfn.STDEV.S(OFFSET(D667,-Описание!$B$12,0,Описание!$B$12,1))</f>
        <v/>
      </c>
      <c r="G667" s="15">
        <f>SQRT(Описание!$B$13*G666^2+(1-Описание!$B$13)*D666^2)</f>
        <v/>
      </c>
      <c r="H667" s="17">
        <f>Описание!$B$9*F667*Описание!$B$7</f>
        <v/>
      </c>
      <c r="I667" s="17">
        <f>Описание!$B$9*G667*Описание!$B$7</f>
        <v/>
      </c>
    </row>
    <row r="668">
      <c r="A668" s="13" t="n">
        <v>39672</v>
      </c>
      <c r="B668" s="14" t="n">
        <v>1.4907</v>
      </c>
      <c r="C668" t="inlineStr">
        <is>
          <t>После</t>
        </is>
      </c>
      <c r="D668" s="15">
        <f>B668/B667-1</f>
        <v/>
      </c>
      <c r="E668" s="16">
        <f>LN(B668/B667)</f>
        <v/>
      </c>
      <c r="F668" s="15">
        <f>_xlfn.STDEV.S(OFFSET(D668,-Описание!$B$12,0,Описание!$B$12,1))</f>
        <v/>
      </c>
      <c r="G668" s="15">
        <f>SQRT(Описание!$B$13*G667^2+(1-Описание!$B$13)*D667^2)</f>
        <v/>
      </c>
      <c r="H668" s="17">
        <f>Описание!$B$9*F668*Описание!$B$7</f>
        <v/>
      </c>
      <c r="I668" s="17">
        <f>Описание!$B$9*G668*Описание!$B$7</f>
        <v/>
      </c>
    </row>
    <row r="669">
      <c r="A669" s="13" t="n">
        <v>39673</v>
      </c>
      <c r="B669" s="14" t="n">
        <v>1.4903</v>
      </c>
      <c r="C669" t="inlineStr">
        <is>
          <t>После</t>
        </is>
      </c>
      <c r="D669" s="15">
        <f>B669/B668-1</f>
        <v/>
      </c>
      <c r="E669" s="16">
        <f>LN(B669/B668)</f>
        <v/>
      </c>
      <c r="F669" s="15">
        <f>_xlfn.STDEV.S(OFFSET(D669,-Описание!$B$12,0,Описание!$B$12,1))</f>
        <v/>
      </c>
      <c r="G669" s="15">
        <f>SQRT(Описание!$B$13*G668^2+(1-Описание!$B$13)*D668^2)</f>
        <v/>
      </c>
      <c r="H669" s="17">
        <f>Описание!$B$9*F669*Описание!$B$7</f>
        <v/>
      </c>
      <c r="I669" s="17">
        <f>Описание!$B$9*G669*Описание!$B$7</f>
        <v/>
      </c>
    </row>
    <row r="670">
      <c r="A670" s="13" t="n">
        <v>39674</v>
      </c>
      <c r="B670" s="14" t="n">
        <v>1.4907</v>
      </c>
      <c r="C670" t="inlineStr">
        <is>
          <t>После</t>
        </is>
      </c>
      <c r="D670" s="15">
        <f>B670/B669-1</f>
        <v/>
      </c>
      <c r="E670" s="16">
        <f>LN(B670/B669)</f>
        <v/>
      </c>
      <c r="F670" s="15">
        <f>_xlfn.STDEV.S(OFFSET(D670,-Описание!$B$12,0,Описание!$B$12,1))</f>
        <v/>
      </c>
      <c r="G670" s="15">
        <f>SQRT(Описание!$B$13*G669^2+(1-Описание!$B$13)*D669^2)</f>
        <v/>
      </c>
      <c r="H670" s="17">
        <f>Описание!$B$9*F670*Описание!$B$7</f>
        <v/>
      </c>
      <c r="I670" s="17">
        <f>Описание!$B$9*G670*Описание!$B$7</f>
        <v/>
      </c>
    </row>
    <row r="671">
      <c r="A671" s="13" t="n">
        <v>39675</v>
      </c>
      <c r="B671" s="14" t="n">
        <v>1.4729</v>
      </c>
      <c r="C671" t="inlineStr">
        <is>
          <t>После</t>
        </is>
      </c>
      <c r="D671" s="15">
        <f>B671/B670-1</f>
        <v/>
      </c>
      <c r="E671" s="16">
        <f>LN(B671/B670)</f>
        <v/>
      </c>
      <c r="F671" s="15">
        <f>_xlfn.STDEV.S(OFFSET(D671,-Описание!$B$12,0,Описание!$B$12,1))</f>
        <v/>
      </c>
      <c r="G671" s="15">
        <f>SQRT(Описание!$B$13*G670^2+(1-Описание!$B$13)*D670^2)</f>
        <v/>
      </c>
      <c r="H671" s="17">
        <f>Описание!$B$9*F671*Описание!$B$7</f>
        <v/>
      </c>
      <c r="I671" s="17">
        <f>Описание!$B$9*G671*Описание!$B$7</f>
        <v/>
      </c>
    </row>
    <row r="672">
      <c r="A672" s="13" t="n">
        <v>39678</v>
      </c>
      <c r="B672" s="14" t="n">
        <v>1.4704</v>
      </c>
      <c r="C672" t="inlineStr">
        <is>
          <t>После</t>
        </is>
      </c>
      <c r="D672" s="15">
        <f>B672/B671-1</f>
        <v/>
      </c>
      <c r="E672" s="16">
        <f>LN(B672/B671)</f>
        <v/>
      </c>
      <c r="F672" s="15">
        <f>_xlfn.STDEV.S(OFFSET(D672,-Описание!$B$12,0,Описание!$B$12,1))</f>
        <v/>
      </c>
      <c r="G672" s="15">
        <f>SQRT(Описание!$B$13*G671^2+(1-Описание!$B$13)*D671^2)</f>
        <v/>
      </c>
      <c r="H672" s="17">
        <f>Описание!$B$9*F672*Описание!$B$7</f>
        <v/>
      </c>
      <c r="I672" s="17">
        <f>Описание!$B$9*G672*Описание!$B$7</f>
        <v/>
      </c>
    </row>
    <row r="673">
      <c r="A673" s="13" t="n">
        <v>39679</v>
      </c>
      <c r="B673" s="14" t="n">
        <v>1.4677</v>
      </c>
      <c r="C673" t="inlineStr">
        <is>
          <t>После</t>
        </is>
      </c>
      <c r="D673" s="15">
        <f>B673/B672-1</f>
        <v/>
      </c>
      <c r="E673" s="16">
        <f>LN(B673/B672)</f>
        <v/>
      </c>
      <c r="F673" s="15">
        <f>_xlfn.STDEV.S(OFFSET(D673,-Описание!$B$12,0,Описание!$B$12,1))</f>
        <v/>
      </c>
      <c r="G673" s="15">
        <f>SQRT(Описание!$B$13*G672^2+(1-Описание!$B$13)*D672^2)</f>
        <v/>
      </c>
      <c r="H673" s="17">
        <f>Описание!$B$9*F673*Описание!$B$7</f>
        <v/>
      </c>
      <c r="I673" s="17">
        <f>Описание!$B$9*G673*Описание!$B$7</f>
        <v/>
      </c>
    </row>
    <row r="674">
      <c r="A674" s="13" t="n">
        <v>39680</v>
      </c>
      <c r="B674" s="14" t="n">
        <v>1.4734</v>
      </c>
      <c r="C674" t="inlineStr">
        <is>
          <t>После</t>
        </is>
      </c>
      <c r="D674" s="15">
        <f>B674/B673-1</f>
        <v/>
      </c>
      <c r="E674" s="16">
        <f>LN(B674/B673)</f>
        <v/>
      </c>
      <c r="F674" s="15">
        <f>_xlfn.STDEV.S(OFFSET(D674,-Описание!$B$12,0,Описание!$B$12,1))</f>
        <v/>
      </c>
      <c r="G674" s="15">
        <f>SQRT(Описание!$B$13*G673^2+(1-Описание!$B$13)*D673^2)</f>
        <v/>
      </c>
      <c r="H674" s="17">
        <f>Описание!$B$9*F674*Описание!$B$7</f>
        <v/>
      </c>
      <c r="I674" s="17">
        <f>Описание!$B$9*G674*Описание!$B$7</f>
        <v/>
      </c>
    </row>
    <row r="675">
      <c r="A675" s="13" t="n">
        <v>39681</v>
      </c>
      <c r="B675" s="14" t="n">
        <v>1.4814</v>
      </c>
      <c r="C675" t="inlineStr">
        <is>
          <t>После</t>
        </is>
      </c>
      <c r="D675" s="15">
        <f>B675/B674-1</f>
        <v/>
      </c>
      <c r="E675" s="16">
        <f>LN(B675/B674)</f>
        <v/>
      </c>
      <c r="F675" s="15">
        <f>_xlfn.STDEV.S(OFFSET(D675,-Описание!$B$12,0,Описание!$B$12,1))</f>
        <v/>
      </c>
      <c r="G675" s="15">
        <f>SQRT(Описание!$B$13*G674^2+(1-Описание!$B$13)*D674^2)</f>
        <v/>
      </c>
      <c r="H675" s="17">
        <f>Описание!$B$9*F675*Описание!$B$7</f>
        <v/>
      </c>
      <c r="I675" s="17">
        <f>Описание!$B$9*G675*Описание!$B$7</f>
        <v/>
      </c>
    </row>
    <row r="676">
      <c r="A676" s="13" t="n">
        <v>39682</v>
      </c>
      <c r="B676" s="14" t="n">
        <v>1.4808</v>
      </c>
      <c r="C676" t="inlineStr">
        <is>
          <t>После</t>
        </is>
      </c>
      <c r="D676" s="15">
        <f>B676/B675-1</f>
        <v/>
      </c>
      <c r="E676" s="16">
        <f>LN(B676/B675)</f>
        <v/>
      </c>
      <c r="F676" s="15">
        <f>_xlfn.STDEV.S(OFFSET(D676,-Описание!$B$12,0,Описание!$B$12,1))</f>
        <v/>
      </c>
      <c r="G676" s="15">
        <f>SQRT(Описание!$B$13*G675^2+(1-Описание!$B$13)*D675^2)</f>
        <v/>
      </c>
      <c r="H676" s="17">
        <f>Описание!$B$9*F676*Описание!$B$7</f>
        <v/>
      </c>
      <c r="I676" s="17">
        <f>Описание!$B$9*G676*Описание!$B$7</f>
        <v/>
      </c>
    </row>
    <row r="677">
      <c r="A677" s="13" t="n">
        <v>39685</v>
      </c>
      <c r="B677" s="14" t="n">
        <v>1.4767</v>
      </c>
      <c r="C677" t="inlineStr">
        <is>
          <t>После</t>
        </is>
      </c>
      <c r="D677" s="15">
        <f>B677/B676-1</f>
        <v/>
      </c>
      <c r="E677" s="16">
        <f>LN(B677/B676)</f>
        <v/>
      </c>
      <c r="F677" s="15">
        <f>_xlfn.STDEV.S(OFFSET(D677,-Описание!$B$12,0,Описание!$B$12,1))</f>
        <v/>
      </c>
      <c r="G677" s="15">
        <f>SQRT(Описание!$B$13*G676^2+(1-Описание!$B$13)*D676^2)</f>
        <v/>
      </c>
      <c r="H677" s="17">
        <f>Описание!$B$9*F677*Описание!$B$7</f>
        <v/>
      </c>
      <c r="I677" s="17">
        <f>Описание!$B$9*G677*Описание!$B$7</f>
        <v/>
      </c>
    </row>
    <row r="678">
      <c r="A678" s="13" t="n">
        <v>39686</v>
      </c>
      <c r="B678" s="14" t="n">
        <v>1.4598</v>
      </c>
      <c r="C678" t="inlineStr">
        <is>
          <t>После</t>
        </is>
      </c>
      <c r="D678" s="15">
        <f>B678/B677-1</f>
        <v/>
      </c>
      <c r="E678" s="16">
        <f>LN(B678/B677)</f>
        <v/>
      </c>
      <c r="F678" s="15">
        <f>_xlfn.STDEV.S(OFFSET(D678,-Описание!$B$12,0,Описание!$B$12,1))</f>
        <v/>
      </c>
      <c r="G678" s="15">
        <f>SQRT(Описание!$B$13*G677^2+(1-Описание!$B$13)*D677^2)</f>
        <v/>
      </c>
      <c r="H678" s="17">
        <f>Описание!$B$9*F678*Описание!$B$7</f>
        <v/>
      </c>
      <c r="I678" s="17">
        <f>Описание!$B$9*G678*Описание!$B$7</f>
        <v/>
      </c>
    </row>
    <row r="679">
      <c r="A679" s="13" t="n">
        <v>39687</v>
      </c>
      <c r="B679" s="14" t="n">
        <v>1.4767</v>
      </c>
      <c r="C679" t="inlineStr">
        <is>
          <t>После</t>
        </is>
      </c>
      <c r="D679" s="15">
        <f>B679/B678-1</f>
        <v/>
      </c>
      <c r="E679" s="16">
        <f>LN(B679/B678)</f>
        <v/>
      </c>
      <c r="F679" s="15">
        <f>_xlfn.STDEV.S(OFFSET(D679,-Описание!$B$12,0,Описание!$B$12,1))</f>
        <v/>
      </c>
      <c r="G679" s="15">
        <f>SQRT(Описание!$B$13*G678^2+(1-Описание!$B$13)*D678^2)</f>
        <v/>
      </c>
      <c r="H679" s="17">
        <f>Описание!$B$9*F679*Описание!$B$7</f>
        <v/>
      </c>
      <c r="I679" s="17">
        <f>Описание!$B$9*G679*Описание!$B$7</f>
        <v/>
      </c>
    </row>
    <row r="680">
      <c r="A680" s="13" t="n">
        <v>39688</v>
      </c>
      <c r="B680" s="14" t="n">
        <v>1.4771</v>
      </c>
      <c r="C680" t="inlineStr">
        <is>
          <t>После</t>
        </is>
      </c>
      <c r="D680" s="15">
        <f>B680/B679-1</f>
        <v/>
      </c>
      <c r="E680" s="16">
        <f>LN(B680/B679)</f>
        <v/>
      </c>
      <c r="F680" s="15">
        <f>_xlfn.STDEV.S(OFFSET(D680,-Описание!$B$12,0,Описание!$B$12,1))</f>
        <v/>
      </c>
      <c r="G680" s="15">
        <f>SQRT(Описание!$B$13*G679^2+(1-Описание!$B$13)*D679^2)</f>
        <v/>
      </c>
      <c r="H680" s="17">
        <f>Описание!$B$9*F680*Описание!$B$7</f>
        <v/>
      </c>
      <c r="I680" s="17">
        <f>Описание!$B$9*G680*Описание!$B$7</f>
        <v/>
      </c>
    </row>
    <row r="681">
      <c r="A681" s="13" t="n">
        <v>39689</v>
      </c>
      <c r="B681" s="14" t="n">
        <v>1.4735</v>
      </c>
      <c r="C681" t="inlineStr">
        <is>
          <t>После</t>
        </is>
      </c>
      <c r="D681" s="15">
        <f>B681/B680-1</f>
        <v/>
      </c>
      <c r="E681" s="16">
        <f>LN(B681/B680)</f>
        <v/>
      </c>
      <c r="F681" s="15">
        <f>_xlfn.STDEV.S(OFFSET(D681,-Описание!$B$12,0,Описание!$B$12,1))</f>
        <v/>
      </c>
      <c r="G681" s="15">
        <f>SQRT(Описание!$B$13*G680^2+(1-Описание!$B$13)*D680^2)</f>
        <v/>
      </c>
      <c r="H681" s="17">
        <f>Описание!$B$9*F681*Описание!$B$7</f>
        <v/>
      </c>
      <c r="I681" s="17">
        <f>Описание!$B$9*G681*Описание!$B$7</f>
        <v/>
      </c>
    </row>
    <row r="682">
      <c r="A682" s="13" t="n">
        <v>39692</v>
      </c>
      <c r="B682" s="14" t="n">
        <v>1.4621</v>
      </c>
      <c r="C682" t="inlineStr">
        <is>
          <t>После</t>
        </is>
      </c>
      <c r="D682" s="15">
        <f>B682/B681-1</f>
        <v/>
      </c>
      <c r="E682" s="16">
        <f>LN(B682/B681)</f>
        <v/>
      </c>
      <c r="F682" s="15">
        <f>_xlfn.STDEV.S(OFFSET(D682,-Описание!$B$12,0,Описание!$B$12,1))</f>
        <v/>
      </c>
      <c r="G682" s="15">
        <f>SQRT(Описание!$B$13*G681^2+(1-Описание!$B$13)*D681^2)</f>
        <v/>
      </c>
      <c r="H682" s="17">
        <f>Описание!$B$9*F682*Описание!$B$7</f>
        <v/>
      </c>
      <c r="I682" s="17">
        <f>Описание!$B$9*G682*Описание!$B$7</f>
        <v/>
      </c>
    </row>
    <row r="683">
      <c r="A683" s="13" t="n">
        <v>39693</v>
      </c>
      <c r="B683" s="14" t="n">
        <v>1.4516</v>
      </c>
      <c r="C683" t="inlineStr">
        <is>
          <t>После</t>
        </is>
      </c>
      <c r="D683" s="15">
        <f>B683/B682-1</f>
        <v/>
      </c>
      <c r="E683" s="16">
        <f>LN(B683/B682)</f>
        <v/>
      </c>
      <c r="F683" s="15">
        <f>_xlfn.STDEV.S(OFFSET(D683,-Описание!$B$12,0,Описание!$B$12,1))</f>
        <v/>
      </c>
      <c r="G683" s="15">
        <f>SQRT(Описание!$B$13*G682^2+(1-Описание!$B$13)*D682^2)</f>
        <v/>
      </c>
      <c r="H683" s="17">
        <f>Описание!$B$9*F683*Описание!$B$7</f>
        <v/>
      </c>
      <c r="I683" s="17">
        <f>Описание!$B$9*G683*Описание!$B$7</f>
        <v/>
      </c>
    </row>
    <row r="684">
      <c r="A684" s="13" t="n">
        <v>39694</v>
      </c>
      <c r="B684" s="14" t="n">
        <v>1.4441</v>
      </c>
      <c r="C684" t="inlineStr">
        <is>
          <t>После</t>
        </is>
      </c>
      <c r="D684" s="15">
        <f>B684/B683-1</f>
        <v/>
      </c>
      <c r="E684" s="16">
        <f>LN(B684/B683)</f>
        <v/>
      </c>
      <c r="F684" s="15">
        <f>_xlfn.STDEV.S(OFFSET(D684,-Описание!$B$12,0,Описание!$B$12,1))</f>
        <v/>
      </c>
      <c r="G684" s="15">
        <f>SQRT(Описание!$B$13*G683^2+(1-Описание!$B$13)*D683^2)</f>
        <v/>
      </c>
      <c r="H684" s="17">
        <f>Описание!$B$9*F684*Описание!$B$7</f>
        <v/>
      </c>
      <c r="I684" s="17">
        <f>Описание!$B$9*G684*Описание!$B$7</f>
        <v/>
      </c>
    </row>
    <row r="685">
      <c r="A685" s="13" t="n">
        <v>39695</v>
      </c>
      <c r="B685" s="14" t="n">
        <v>1.4488</v>
      </c>
      <c r="C685" t="inlineStr">
        <is>
          <t>После</t>
        </is>
      </c>
      <c r="D685" s="15">
        <f>B685/B684-1</f>
        <v/>
      </c>
      <c r="E685" s="16">
        <f>LN(B685/B684)</f>
        <v/>
      </c>
      <c r="F685" s="15">
        <f>_xlfn.STDEV.S(OFFSET(D685,-Описание!$B$12,0,Описание!$B$12,1))</f>
        <v/>
      </c>
      <c r="G685" s="15">
        <f>SQRT(Описание!$B$13*G684^2+(1-Описание!$B$13)*D684^2)</f>
        <v/>
      </c>
      <c r="H685" s="17">
        <f>Описание!$B$9*F685*Описание!$B$7</f>
        <v/>
      </c>
      <c r="I685" s="17">
        <f>Описание!$B$9*G685*Описание!$B$7</f>
        <v/>
      </c>
    </row>
    <row r="686">
      <c r="A686" s="13" t="n">
        <v>39696</v>
      </c>
      <c r="B686" s="14" t="n">
        <v>1.4247</v>
      </c>
      <c r="C686" t="inlineStr">
        <is>
          <t>После</t>
        </is>
      </c>
      <c r="D686" s="15">
        <f>B686/B685-1</f>
        <v/>
      </c>
      <c r="E686" s="16">
        <f>LN(B686/B685)</f>
        <v/>
      </c>
      <c r="F686" s="15">
        <f>_xlfn.STDEV.S(OFFSET(D686,-Описание!$B$12,0,Описание!$B$12,1))</f>
        <v/>
      </c>
      <c r="G686" s="15">
        <f>SQRT(Описание!$B$13*G685^2+(1-Описание!$B$13)*D685^2)</f>
        <v/>
      </c>
      <c r="H686" s="17">
        <f>Описание!$B$9*F686*Описание!$B$7</f>
        <v/>
      </c>
      <c r="I686" s="17">
        <f>Описание!$B$9*G686*Описание!$B$7</f>
        <v/>
      </c>
    </row>
    <row r="687">
      <c r="A687" s="13" t="n">
        <v>39699</v>
      </c>
      <c r="B687" s="14" t="n">
        <v>1.4214</v>
      </c>
      <c r="C687" t="inlineStr">
        <is>
          <t>После</t>
        </is>
      </c>
      <c r="D687" s="15">
        <f>B687/B686-1</f>
        <v/>
      </c>
      <c r="E687" s="16">
        <f>LN(B687/B686)</f>
        <v/>
      </c>
      <c r="F687" s="15">
        <f>_xlfn.STDEV.S(OFFSET(D687,-Описание!$B$12,0,Описание!$B$12,1))</f>
        <v/>
      </c>
      <c r="G687" s="15">
        <f>SQRT(Описание!$B$13*G686^2+(1-Описание!$B$13)*D686^2)</f>
        <v/>
      </c>
      <c r="H687" s="17">
        <f>Описание!$B$9*F687*Описание!$B$7</f>
        <v/>
      </c>
      <c r="I687" s="17">
        <f>Описание!$B$9*G687*Описание!$B$7</f>
        <v/>
      </c>
    </row>
    <row r="688">
      <c r="A688" s="13" t="n">
        <v>39700</v>
      </c>
      <c r="B688" s="14" t="n">
        <v>1.4144</v>
      </c>
      <c r="C688" t="inlineStr">
        <is>
          <t>После</t>
        </is>
      </c>
      <c r="D688" s="15">
        <f>B688/B687-1</f>
        <v/>
      </c>
      <c r="E688" s="16">
        <f>LN(B688/B687)</f>
        <v/>
      </c>
      <c r="F688" s="15">
        <f>_xlfn.STDEV.S(OFFSET(D688,-Описание!$B$12,0,Описание!$B$12,1))</f>
        <v/>
      </c>
      <c r="G688" s="15">
        <f>SQRT(Описание!$B$13*G687^2+(1-Описание!$B$13)*D687^2)</f>
        <v/>
      </c>
      <c r="H688" s="17">
        <f>Описание!$B$9*F688*Описание!$B$7</f>
        <v/>
      </c>
      <c r="I688" s="17">
        <f>Описание!$B$9*G688*Описание!$B$7</f>
        <v/>
      </c>
    </row>
    <row r="689">
      <c r="A689" s="13" t="n">
        <v>39701</v>
      </c>
      <c r="B689" s="14" t="n">
        <v>1.4094</v>
      </c>
      <c r="C689" t="inlineStr">
        <is>
          <t>После</t>
        </is>
      </c>
      <c r="D689" s="15">
        <f>B689/B688-1</f>
        <v/>
      </c>
      <c r="E689" s="16">
        <f>LN(B689/B688)</f>
        <v/>
      </c>
      <c r="F689" s="15">
        <f>_xlfn.STDEV.S(OFFSET(D689,-Описание!$B$12,0,Описание!$B$12,1))</f>
        <v/>
      </c>
      <c r="G689" s="15">
        <f>SQRT(Описание!$B$13*G688^2+(1-Описание!$B$13)*D688^2)</f>
        <v/>
      </c>
      <c r="H689" s="17">
        <f>Описание!$B$9*F689*Описание!$B$7</f>
        <v/>
      </c>
      <c r="I689" s="17">
        <f>Описание!$B$9*G689*Описание!$B$7</f>
        <v/>
      </c>
    </row>
    <row r="690">
      <c r="A690" s="13" t="n">
        <v>39702</v>
      </c>
      <c r="B690" s="14" t="n">
        <v>1.3934</v>
      </c>
      <c r="C690" t="inlineStr">
        <is>
          <t>После</t>
        </is>
      </c>
      <c r="D690" s="15">
        <f>B690/B689-1</f>
        <v/>
      </c>
      <c r="E690" s="16">
        <f>LN(B690/B689)</f>
        <v/>
      </c>
      <c r="F690" s="15">
        <f>_xlfn.STDEV.S(OFFSET(D690,-Описание!$B$12,0,Описание!$B$12,1))</f>
        <v/>
      </c>
      <c r="G690" s="15">
        <f>SQRT(Описание!$B$13*G689^2+(1-Описание!$B$13)*D689^2)</f>
        <v/>
      </c>
      <c r="H690" s="17">
        <f>Описание!$B$9*F690*Описание!$B$7</f>
        <v/>
      </c>
      <c r="I690" s="17">
        <f>Описание!$B$9*G690*Описание!$B$7</f>
        <v/>
      </c>
    </row>
    <row r="691">
      <c r="A691" s="13" t="n">
        <v>39703</v>
      </c>
      <c r="B691" s="14" t="n">
        <v>1.4066</v>
      </c>
      <c r="C691" t="inlineStr">
        <is>
          <t>После</t>
        </is>
      </c>
      <c r="D691" s="15">
        <f>B691/B690-1</f>
        <v/>
      </c>
      <c r="E691" s="16">
        <f>LN(B691/B690)</f>
        <v/>
      </c>
      <c r="F691" s="15">
        <f>_xlfn.STDEV.S(OFFSET(D691,-Описание!$B$12,0,Описание!$B$12,1))</f>
        <v/>
      </c>
      <c r="G691" s="15">
        <f>SQRT(Описание!$B$13*G690^2+(1-Описание!$B$13)*D690^2)</f>
        <v/>
      </c>
      <c r="H691" s="17">
        <f>Описание!$B$9*F691*Описание!$B$7</f>
        <v/>
      </c>
      <c r="I691" s="17">
        <f>Описание!$B$9*G691*Описание!$B$7</f>
        <v/>
      </c>
    </row>
    <row r="692">
      <c r="A692" s="13" t="n">
        <v>39706</v>
      </c>
      <c r="B692" s="14" t="n">
        <v>1.4151</v>
      </c>
      <c r="C692" t="inlineStr">
        <is>
          <t>После</t>
        </is>
      </c>
      <c r="D692" s="15">
        <f>B692/B691-1</f>
        <v/>
      </c>
      <c r="E692" s="16">
        <f>LN(B692/B691)</f>
        <v/>
      </c>
      <c r="F692" s="15">
        <f>_xlfn.STDEV.S(OFFSET(D692,-Описание!$B$12,0,Описание!$B$12,1))</f>
        <v/>
      </c>
      <c r="G692" s="15">
        <f>SQRT(Описание!$B$13*G691^2+(1-Описание!$B$13)*D691^2)</f>
        <v/>
      </c>
      <c r="H692" s="17">
        <f>Описание!$B$9*F692*Описание!$B$7</f>
        <v/>
      </c>
      <c r="I692" s="17">
        <f>Описание!$B$9*G692*Описание!$B$7</f>
        <v/>
      </c>
    </row>
    <row r="693">
      <c r="A693" s="13" t="n">
        <v>39707</v>
      </c>
      <c r="B693" s="14" t="n">
        <v>1.4267</v>
      </c>
      <c r="C693" t="inlineStr">
        <is>
          <t>После</t>
        </is>
      </c>
      <c r="D693" s="15">
        <f>B693/B692-1</f>
        <v/>
      </c>
      <c r="E693" s="16">
        <f>LN(B693/B692)</f>
        <v/>
      </c>
      <c r="F693" s="15">
        <f>_xlfn.STDEV.S(OFFSET(D693,-Описание!$B$12,0,Описание!$B$12,1))</f>
        <v/>
      </c>
      <c r="G693" s="15">
        <f>SQRT(Описание!$B$13*G692^2+(1-Описание!$B$13)*D692^2)</f>
        <v/>
      </c>
      <c r="H693" s="17">
        <f>Описание!$B$9*F693*Описание!$B$7</f>
        <v/>
      </c>
      <c r="I693" s="17">
        <f>Описание!$B$9*G693*Описание!$B$7</f>
        <v/>
      </c>
    </row>
    <row r="694">
      <c r="A694" s="13" t="n">
        <v>39708</v>
      </c>
      <c r="B694" s="14" t="n">
        <v>1.4224</v>
      </c>
      <c r="C694" t="inlineStr">
        <is>
          <t>После</t>
        </is>
      </c>
      <c r="D694" s="15">
        <f>B694/B693-1</f>
        <v/>
      </c>
      <c r="E694" s="16">
        <f>LN(B694/B693)</f>
        <v/>
      </c>
      <c r="F694" s="15">
        <f>_xlfn.STDEV.S(OFFSET(D694,-Описание!$B$12,0,Описание!$B$12,1))</f>
        <v/>
      </c>
      <c r="G694" s="15">
        <f>SQRT(Описание!$B$13*G693^2+(1-Описание!$B$13)*D693^2)</f>
        <v/>
      </c>
      <c r="H694" s="17">
        <f>Описание!$B$9*F694*Описание!$B$7</f>
        <v/>
      </c>
      <c r="I694" s="17">
        <f>Описание!$B$9*G694*Описание!$B$7</f>
        <v/>
      </c>
    </row>
    <row r="695">
      <c r="A695" s="13" t="n">
        <v>39709</v>
      </c>
      <c r="B695" s="14" t="n">
        <v>1.4502</v>
      </c>
      <c r="C695" t="inlineStr">
        <is>
          <t>После</t>
        </is>
      </c>
      <c r="D695" s="15">
        <f>B695/B694-1</f>
        <v/>
      </c>
      <c r="E695" s="16">
        <f>LN(B695/B694)</f>
        <v/>
      </c>
      <c r="F695" s="15">
        <f>_xlfn.STDEV.S(OFFSET(D695,-Описание!$B$12,0,Описание!$B$12,1))</f>
        <v/>
      </c>
      <c r="G695" s="15">
        <f>SQRT(Описание!$B$13*G694^2+(1-Описание!$B$13)*D694^2)</f>
        <v/>
      </c>
      <c r="H695" s="17">
        <f>Описание!$B$9*F695*Описание!$B$7</f>
        <v/>
      </c>
      <c r="I695" s="17">
        <f>Описание!$B$9*G695*Описание!$B$7</f>
        <v/>
      </c>
    </row>
    <row r="696">
      <c r="A696" s="13" t="n">
        <v>39710</v>
      </c>
      <c r="B696" s="14" t="n">
        <v>1.4236</v>
      </c>
      <c r="C696" t="inlineStr">
        <is>
          <t>После</t>
        </is>
      </c>
      <c r="D696" s="15">
        <f>B696/B695-1</f>
        <v/>
      </c>
      <c r="E696" s="16">
        <f>LN(B696/B695)</f>
        <v/>
      </c>
      <c r="F696" s="15">
        <f>_xlfn.STDEV.S(OFFSET(D696,-Описание!$B$12,0,Описание!$B$12,1))</f>
        <v/>
      </c>
      <c r="G696" s="15">
        <f>SQRT(Описание!$B$13*G695^2+(1-Описание!$B$13)*D695^2)</f>
        <v/>
      </c>
      <c r="H696" s="17">
        <f>Описание!$B$9*F696*Описание!$B$7</f>
        <v/>
      </c>
      <c r="I696" s="17">
        <f>Описание!$B$9*G696*Описание!$B$7</f>
        <v/>
      </c>
    </row>
    <row r="697">
      <c r="A697" s="13" t="n">
        <v>39713</v>
      </c>
      <c r="B697" s="14" t="n">
        <v>1.4571</v>
      </c>
      <c r="C697" t="inlineStr">
        <is>
          <t>После</t>
        </is>
      </c>
      <c r="D697" s="15">
        <f>B697/B696-1</f>
        <v/>
      </c>
      <c r="E697" s="16">
        <f>LN(B697/B696)</f>
        <v/>
      </c>
      <c r="F697" s="15">
        <f>_xlfn.STDEV.S(OFFSET(D697,-Описание!$B$12,0,Описание!$B$12,1))</f>
        <v/>
      </c>
      <c r="G697" s="15">
        <f>SQRT(Описание!$B$13*G696^2+(1-Описание!$B$13)*D696^2)</f>
        <v/>
      </c>
      <c r="H697" s="17">
        <f>Описание!$B$9*F697*Описание!$B$7</f>
        <v/>
      </c>
      <c r="I697" s="17">
        <f>Описание!$B$9*G697*Описание!$B$7</f>
        <v/>
      </c>
    </row>
    <row r="698">
      <c r="A698" s="13" t="n">
        <v>39714</v>
      </c>
      <c r="B698" s="14" t="n">
        <v>1.4731</v>
      </c>
      <c r="C698" t="inlineStr">
        <is>
          <t>После</t>
        </is>
      </c>
      <c r="D698" s="15">
        <f>B698/B697-1</f>
        <v/>
      </c>
      <c r="E698" s="16">
        <f>LN(B698/B697)</f>
        <v/>
      </c>
      <c r="F698" s="15">
        <f>_xlfn.STDEV.S(OFFSET(D698,-Описание!$B$12,0,Описание!$B$12,1))</f>
        <v/>
      </c>
      <c r="G698" s="15">
        <f>SQRT(Описание!$B$13*G697^2+(1-Описание!$B$13)*D697^2)</f>
        <v/>
      </c>
      <c r="H698" s="17">
        <f>Описание!$B$9*F698*Описание!$B$7</f>
        <v/>
      </c>
      <c r="I698" s="17">
        <f>Описание!$B$9*G698*Описание!$B$7</f>
        <v/>
      </c>
    </row>
    <row r="699">
      <c r="A699" s="13" t="n">
        <v>39715</v>
      </c>
      <c r="B699" s="14" t="n">
        <v>1.469</v>
      </c>
      <c r="C699" t="inlineStr">
        <is>
          <t>После</t>
        </is>
      </c>
      <c r="D699" s="15">
        <f>B699/B698-1</f>
        <v/>
      </c>
      <c r="E699" s="16">
        <f>LN(B699/B698)</f>
        <v/>
      </c>
      <c r="F699" s="15">
        <f>_xlfn.STDEV.S(OFFSET(D699,-Описание!$B$12,0,Описание!$B$12,1))</f>
        <v/>
      </c>
      <c r="G699" s="15">
        <f>SQRT(Описание!$B$13*G698^2+(1-Описание!$B$13)*D698^2)</f>
        <v/>
      </c>
      <c r="H699" s="17">
        <f>Описание!$B$9*F699*Описание!$B$7</f>
        <v/>
      </c>
      <c r="I699" s="17">
        <f>Описание!$B$9*G699*Описание!$B$7</f>
        <v/>
      </c>
    </row>
    <row r="700">
      <c r="A700" s="13" t="n">
        <v>39716</v>
      </c>
      <c r="B700" s="14" t="n">
        <v>1.47</v>
      </c>
      <c r="C700" t="inlineStr">
        <is>
          <t>После</t>
        </is>
      </c>
      <c r="D700" s="15">
        <f>B700/B699-1</f>
        <v/>
      </c>
      <c r="E700" s="16">
        <f>LN(B700/B699)</f>
        <v/>
      </c>
      <c r="F700" s="15">
        <f>_xlfn.STDEV.S(OFFSET(D700,-Описание!$B$12,0,Описание!$B$12,1))</f>
        <v/>
      </c>
      <c r="G700" s="15">
        <f>SQRT(Описание!$B$13*G699^2+(1-Описание!$B$13)*D699^2)</f>
        <v/>
      </c>
      <c r="H700" s="17">
        <f>Описание!$B$9*F700*Описание!$B$7</f>
        <v/>
      </c>
      <c r="I700" s="17">
        <f>Описание!$B$9*G700*Описание!$B$7</f>
        <v/>
      </c>
    </row>
    <row r="701">
      <c r="A701" s="13" t="n">
        <v>39717</v>
      </c>
      <c r="B701" s="14" t="n">
        <v>1.464</v>
      </c>
      <c r="C701" t="inlineStr">
        <is>
          <t>После</t>
        </is>
      </c>
      <c r="D701" s="15">
        <f>B701/B700-1</f>
        <v/>
      </c>
      <c r="E701" s="16">
        <f>LN(B701/B700)</f>
        <v/>
      </c>
      <c r="F701" s="15">
        <f>_xlfn.STDEV.S(OFFSET(D701,-Описание!$B$12,0,Описание!$B$12,1))</f>
        <v/>
      </c>
      <c r="G701" s="15">
        <f>SQRT(Описание!$B$13*G700^2+(1-Описание!$B$13)*D700^2)</f>
        <v/>
      </c>
      <c r="H701" s="17">
        <f>Описание!$B$9*F701*Описание!$B$7</f>
        <v/>
      </c>
      <c r="I701" s="17">
        <f>Описание!$B$9*G701*Описание!$B$7</f>
        <v/>
      </c>
    </row>
    <row r="702">
      <c r="A702" s="13" t="n">
        <v>39720</v>
      </c>
      <c r="B702" s="14" t="n">
        <v>1.4349</v>
      </c>
      <c r="C702" t="inlineStr">
        <is>
          <t>После</t>
        </is>
      </c>
      <c r="D702" s="15">
        <f>B702/B701-1</f>
        <v/>
      </c>
      <c r="E702" s="16">
        <f>LN(B702/B701)</f>
        <v/>
      </c>
      <c r="F702" s="15">
        <f>_xlfn.STDEV.S(OFFSET(D702,-Описание!$B$12,0,Описание!$B$12,1))</f>
        <v/>
      </c>
      <c r="G702" s="15">
        <f>SQRT(Описание!$B$13*G701^2+(1-Описание!$B$13)*D701^2)</f>
        <v/>
      </c>
      <c r="H702" s="17">
        <f>Описание!$B$9*F702*Описание!$B$7</f>
        <v/>
      </c>
      <c r="I702" s="17">
        <f>Описание!$B$9*G702*Описание!$B$7</f>
        <v/>
      </c>
    </row>
    <row r="703">
      <c r="A703" s="13" t="n">
        <v>39721</v>
      </c>
      <c r="B703" s="14" t="n">
        <v>1.4303</v>
      </c>
      <c r="C703" t="inlineStr">
        <is>
          <t>После</t>
        </is>
      </c>
      <c r="D703" s="15">
        <f>B703/B702-1</f>
        <v/>
      </c>
      <c r="E703" s="16">
        <f>LN(B703/B702)</f>
        <v/>
      </c>
      <c r="F703" s="15">
        <f>_xlfn.STDEV.S(OFFSET(D703,-Описание!$B$12,0,Описание!$B$12,1))</f>
        <v/>
      </c>
      <c r="G703" s="15">
        <f>SQRT(Описание!$B$13*G702^2+(1-Описание!$B$13)*D702^2)</f>
        <v/>
      </c>
      <c r="H703" s="17">
        <f>Описание!$B$9*F703*Описание!$B$7</f>
        <v/>
      </c>
      <c r="I703" s="17">
        <f>Описание!$B$9*G703*Описание!$B$7</f>
        <v/>
      </c>
    </row>
    <row r="704">
      <c r="A704" s="13" t="n">
        <v>39722</v>
      </c>
      <c r="B704" s="14" t="n">
        <v>1.4081</v>
      </c>
      <c r="C704" t="inlineStr">
        <is>
          <t>После</t>
        </is>
      </c>
      <c r="D704" s="15">
        <f>B704/B703-1</f>
        <v/>
      </c>
      <c r="E704" s="16">
        <f>LN(B704/B703)</f>
        <v/>
      </c>
      <c r="F704" s="15">
        <f>_xlfn.STDEV.S(OFFSET(D704,-Описание!$B$12,0,Описание!$B$12,1))</f>
        <v/>
      </c>
      <c r="G704" s="15">
        <f>SQRT(Описание!$B$13*G703^2+(1-Описание!$B$13)*D703^2)</f>
        <v/>
      </c>
      <c r="H704" s="17">
        <f>Описание!$B$9*F704*Описание!$B$7</f>
        <v/>
      </c>
      <c r="I704" s="17">
        <f>Описание!$B$9*G704*Описание!$B$7</f>
        <v/>
      </c>
    </row>
    <row r="705">
      <c r="A705" s="13" t="n">
        <v>39723</v>
      </c>
      <c r="B705" s="14" t="n">
        <v>1.3903</v>
      </c>
      <c r="C705" t="inlineStr">
        <is>
          <t>После</t>
        </is>
      </c>
      <c r="D705" s="15">
        <f>B705/B704-1</f>
        <v/>
      </c>
      <c r="E705" s="16">
        <f>LN(B705/B704)</f>
        <v/>
      </c>
      <c r="F705" s="15">
        <f>_xlfn.STDEV.S(OFFSET(D705,-Описание!$B$12,0,Описание!$B$12,1))</f>
        <v/>
      </c>
      <c r="G705" s="15">
        <f>SQRT(Описание!$B$13*G704^2+(1-Описание!$B$13)*D704^2)</f>
        <v/>
      </c>
      <c r="H705" s="17">
        <f>Описание!$B$9*F705*Описание!$B$7</f>
        <v/>
      </c>
      <c r="I705" s="17">
        <f>Описание!$B$9*G705*Описание!$B$7</f>
        <v/>
      </c>
    </row>
    <row r="706">
      <c r="A706" s="13" t="n">
        <v>39724</v>
      </c>
      <c r="B706" s="14" t="n">
        <v>1.3834</v>
      </c>
      <c r="C706" t="inlineStr">
        <is>
          <t>После</t>
        </is>
      </c>
      <c r="D706" s="15">
        <f>B706/B705-1</f>
        <v/>
      </c>
      <c r="E706" s="16">
        <f>LN(B706/B705)</f>
        <v/>
      </c>
      <c r="F706" s="15">
        <f>_xlfn.STDEV.S(OFFSET(D706,-Описание!$B$12,0,Описание!$B$12,1))</f>
        <v/>
      </c>
      <c r="G706" s="15">
        <f>SQRT(Описание!$B$13*G705^2+(1-Описание!$B$13)*D705^2)</f>
        <v/>
      </c>
      <c r="H706" s="17">
        <f>Описание!$B$9*F706*Описание!$B$7</f>
        <v/>
      </c>
      <c r="I706" s="17">
        <f>Описание!$B$9*G706*Описание!$B$7</f>
        <v/>
      </c>
    </row>
    <row r="707">
      <c r="A707" s="13" t="n">
        <v>39727</v>
      </c>
      <c r="B707" s="14" t="n">
        <v>1.3634</v>
      </c>
      <c r="C707" t="inlineStr">
        <is>
          <t>После</t>
        </is>
      </c>
      <c r="D707" s="15">
        <f>B707/B706-1</f>
        <v/>
      </c>
      <c r="E707" s="16">
        <f>LN(B707/B706)</f>
        <v/>
      </c>
      <c r="F707" s="15">
        <f>_xlfn.STDEV.S(OFFSET(D707,-Описание!$B$12,0,Описание!$B$12,1))</f>
        <v/>
      </c>
      <c r="G707" s="15">
        <f>SQRT(Описание!$B$13*G706^2+(1-Описание!$B$13)*D706^2)</f>
        <v/>
      </c>
      <c r="H707" s="17">
        <f>Описание!$B$9*F707*Описание!$B$7</f>
        <v/>
      </c>
      <c r="I707" s="17">
        <f>Описание!$B$9*G707*Описание!$B$7</f>
        <v/>
      </c>
    </row>
    <row r="708">
      <c r="A708" s="13" t="n">
        <v>39728</v>
      </c>
      <c r="B708" s="14" t="n">
        <v>1.3632</v>
      </c>
      <c r="C708" t="inlineStr">
        <is>
          <t>После</t>
        </is>
      </c>
      <c r="D708" s="15">
        <f>B708/B707-1</f>
        <v/>
      </c>
      <c r="E708" s="16">
        <f>LN(B708/B707)</f>
        <v/>
      </c>
      <c r="F708" s="15">
        <f>_xlfn.STDEV.S(OFFSET(D708,-Описание!$B$12,0,Описание!$B$12,1))</f>
        <v/>
      </c>
      <c r="G708" s="15">
        <f>SQRT(Описание!$B$13*G707^2+(1-Описание!$B$13)*D707^2)</f>
        <v/>
      </c>
      <c r="H708" s="17">
        <f>Описание!$B$9*F708*Описание!$B$7</f>
        <v/>
      </c>
      <c r="I708" s="17">
        <f>Описание!$B$9*G708*Описание!$B$7</f>
        <v/>
      </c>
    </row>
    <row r="709">
      <c r="A709" s="13" t="n">
        <v>39729</v>
      </c>
      <c r="B709" s="14" t="n">
        <v>1.3731</v>
      </c>
      <c r="C709" t="inlineStr">
        <is>
          <t>После</t>
        </is>
      </c>
      <c r="D709" s="15">
        <f>B709/B708-1</f>
        <v/>
      </c>
      <c r="E709" s="16">
        <f>LN(B709/B708)</f>
        <v/>
      </c>
      <c r="F709" s="15">
        <f>_xlfn.STDEV.S(OFFSET(D709,-Описание!$B$12,0,Описание!$B$12,1))</f>
        <v/>
      </c>
      <c r="G709" s="15">
        <f>SQRT(Описание!$B$13*G708^2+(1-Описание!$B$13)*D708^2)</f>
        <v/>
      </c>
      <c r="H709" s="17">
        <f>Описание!$B$9*F709*Описание!$B$7</f>
        <v/>
      </c>
      <c r="I709" s="17">
        <f>Описание!$B$9*G709*Описание!$B$7</f>
        <v/>
      </c>
    </row>
    <row r="710">
      <c r="A710" s="13" t="n">
        <v>39730</v>
      </c>
      <c r="B710" s="14" t="n">
        <v>1.3682</v>
      </c>
      <c r="C710" t="inlineStr">
        <is>
          <t>После</t>
        </is>
      </c>
      <c r="D710" s="15">
        <f>B710/B709-1</f>
        <v/>
      </c>
      <c r="E710" s="16">
        <f>LN(B710/B709)</f>
        <v/>
      </c>
      <c r="F710" s="15">
        <f>_xlfn.STDEV.S(OFFSET(D710,-Описание!$B$12,0,Описание!$B$12,1))</f>
        <v/>
      </c>
      <c r="G710" s="15">
        <f>SQRT(Описание!$B$13*G709^2+(1-Описание!$B$13)*D709^2)</f>
        <v/>
      </c>
      <c r="H710" s="17">
        <f>Описание!$B$9*F710*Описание!$B$7</f>
        <v/>
      </c>
      <c r="I710" s="17">
        <f>Описание!$B$9*G710*Описание!$B$7</f>
        <v/>
      </c>
    </row>
    <row r="711">
      <c r="A711" s="13" t="n">
        <v>39731</v>
      </c>
      <c r="B711" s="14" t="n">
        <v>1.3579</v>
      </c>
      <c r="C711" t="inlineStr">
        <is>
          <t>После</t>
        </is>
      </c>
      <c r="D711" s="15">
        <f>B711/B710-1</f>
        <v/>
      </c>
      <c r="E711" s="16">
        <f>LN(B711/B710)</f>
        <v/>
      </c>
      <c r="F711" s="15">
        <f>_xlfn.STDEV.S(OFFSET(D711,-Описание!$B$12,0,Описание!$B$12,1))</f>
        <v/>
      </c>
      <c r="G711" s="15">
        <f>SQRT(Описание!$B$13*G710^2+(1-Описание!$B$13)*D710^2)</f>
        <v/>
      </c>
      <c r="H711" s="17">
        <f>Описание!$B$9*F711*Описание!$B$7</f>
        <v/>
      </c>
      <c r="I711" s="17">
        <f>Описание!$B$9*G711*Описание!$B$7</f>
        <v/>
      </c>
    </row>
    <row r="712">
      <c r="A712" s="13" t="n">
        <v>39734</v>
      </c>
      <c r="B712" s="14" t="n">
        <v>1.3639</v>
      </c>
      <c r="C712" t="inlineStr">
        <is>
          <t>После</t>
        </is>
      </c>
      <c r="D712" s="15">
        <f>B712/B711-1</f>
        <v/>
      </c>
      <c r="E712" s="16">
        <f>LN(B712/B711)</f>
        <v/>
      </c>
      <c r="F712" s="15">
        <f>_xlfn.STDEV.S(OFFSET(D712,-Описание!$B$12,0,Описание!$B$12,1))</f>
        <v/>
      </c>
      <c r="G712" s="15">
        <f>SQRT(Описание!$B$13*G711^2+(1-Описание!$B$13)*D711^2)</f>
        <v/>
      </c>
      <c r="H712" s="17">
        <f>Описание!$B$9*F712*Описание!$B$7</f>
        <v/>
      </c>
      <c r="I712" s="17">
        <f>Описание!$B$9*G712*Описание!$B$7</f>
        <v/>
      </c>
    </row>
    <row r="713">
      <c r="A713" s="13" t="n">
        <v>39735</v>
      </c>
      <c r="B713" s="14" t="n">
        <v>1.3752</v>
      </c>
      <c r="C713" t="inlineStr">
        <is>
          <t>После</t>
        </is>
      </c>
      <c r="D713" s="15">
        <f>B713/B712-1</f>
        <v/>
      </c>
      <c r="E713" s="16">
        <f>LN(B713/B712)</f>
        <v/>
      </c>
      <c r="F713" s="15">
        <f>_xlfn.STDEV.S(OFFSET(D713,-Описание!$B$12,0,Описание!$B$12,1))</f>
        <v/>
      </c>
      <c r="G713" s="15">
        <f>SQRT(Описание!$B$13*G712^2+(1-Описание!$B$13)*D712^2)</f>
        <v/>
      </c>
      <c r="H713" s="17">
        <f>Описание!$B$9*F713*Описание!$B$7</f>
        <v/>
      </c>
      <c r="I713" s="17">
        <f>Описание!$B$9*G713*Описание!$B$7</f>
        <v/>
      </c>
    </row>
    <row r="714">
      <c r="A714" s="13" t="n">
        <v>39736</v>
      </c>
      <c r="B714" s="14" t="n">
        <v>1.3625</v>
      </c>
      <c r="C714" t="inlineStr">
        <is>
          <t>После</t>
        </is>
      </c>
      <c r="D714" s="15">
        <f>B714/B713-1</f>
        <v/>
      </c>
      <c r="E714" s="16">
        <f>LN(B714/B713)</f>
        <v/>
      </c>
      <c r="F714" s="15">
        <f>_xlfn.STDEV.S(OFFSET(D714,-Описание!$B$12,0,Описание!$B$12,1))</f>
        <v/>
      </c>
      <c r="G714" s="15">
        <f>SQRT(Описание!$B$13*G713^2+(1-Описание!$B$13)*D713^2)</f>
        <v/>
      </c>
      <c r="H714" s="17">
        <f>Описание!$B$9*F714*Описание!$B$7</f>
        <v/>
      </c>
      <c r="I714" s="17">
        <f>Описание!$B$9*G714*Описание!$B$7</f>
        <v/>
      </c>
    </row>
    <row r="715">
      <c r="A715" s="13" t="n">
        <v>39737</v>
      </c>
      <c r="B715" s="14" t="n">
        <v>1.3507</v>
      </c>
      <c r="C715" t="inlineStr">
        <is>
          <t>После</t>
        </is>
      </c>
      <c r="D715" s="15">
        <f>B715/B714-1</f>
        <v/>
      </c>
      <c r="E715" s="16">
        <f>LN(B715/B714)</f>
        <v/>
      </c>
      <c r="F715" s="15">
        <f>_xlfn.STDEV.S(OFFSET(D715,-Описание!$B$12,0,Описание!$B$12,1))</f>
        <v/>
      </c>
      <c r="G715" s="15">
        <f>SQRT(Описание!$B$13*G714^2+(1-Описание!$B$13)*D714^2)</f>
        <v/>
      </c>
      <c r="H715" s="17">
        <f>Описание!$B$9*F715*Описание!$B$7</f>
        <v/>
      </c>
      <c r="I715" s="17">
        <f>Описание!$B$9*G715*Описание!$B$7</f>
        <v/>
      </c>
    </row>
    <row r="716">
      <c r="A716" s="13" t="n">
        <v>39738</v>
      </c>
      <c r="B716" s="14" t="n">
        <v>1.3404</v>
      </c>
      <c r="C716" t="inlineStr">
        <is>
          <t>После</t>
        </is>
      </c>
      <c r="D716" s="15">
        <f>B716/B715-1</f>
        <v/>
      </c>
      <c r="E716" s="16">
        <f>LN(B716/B715)</f>
        <v/>
      </c>
      <c r="F716" s="15">
        <f>_xlfn.STDEV.S(OFFSET(D716,-Описание!$B$12,0,Описание!$B$12,1))</f>
        <v/>
      </c>
      <c r="G716" s="15">
        <f>SQRT(Описание!$B$13*G715^2+(1-Описание!$B$13)*D715^2)</f>
        <v/>
      </c>
      <c r="H716" s="17">
        <f>Описание!$B$9*F716*Описание!$B$7</f>
        <v/>
      </c>
      <c r="I716" s="17">
        <f>Описание!$B$9*G716*Описание!$B$7</f>
        <v/>
      </c>
    </row>
    <row r="717">
      <c r="A717" s="13" t="n">
        <v>39741</v>
      </c>
      <c r="B717" s="14" t="n">
        <v>1.3424</v>
      </c>
      <c r="C717" t="inlineStr">
        <is>
          <t>После</t>
        </is>
      </c>
      <c r="D717" s="15">
        <f>B717/B716-1</f>
        <v/>
      </c>
      <c r="E717" s="16">
        <f>LN(B717/B716)</f>
        <v/>
      </c>
      <c r="F717" s="15">
        <f>_xlfn.STDEV.S(OFFSET(D717,-Описание!$B$12,0,Описание!$B$12,1))</f>
        <v/>
      </c>
      <c r="G717" s="15">
        <f>SQRT(Описание!$B$13*G716^2+(1-Описание!$B$13)*D716^2)</f>
        <v/>
      </c>
      <c r="H717" s="17">
        <f>Описание!$B$9*F717*Описание!$B$7</f>
        <v/>
      </c>
      <c r="I717" s="17">
        <f>Описание!$B$9*G717*Описание!$B$7</f>
        <v/>
      </c>
    </row>
    <row r="718">
      <c r="A718" s="13" t="n">
        <v>39742</v>
      </c>
      <c r="B718" s="14" t="n">
        <v>1.3184</v>
      </c>
      <c r="C718" t="inlineStr">
        <is>
          <t>После</t>
        </is>
      </c>
      <c r="D718" s="15">
        <f>B718/B717-1</f>
        <v/>
      </c>
      <c r="E718" s="16">
        <f>LN(B718/B717)</f>
        <v/>
      </c>
      <c r="F718" s="15">
        <f>_xlfn.STDEV.S(OFFSET(D718,-Описание!$B$12,0,Описание!$B$12,1))</f>
        <v/>
      </c>
      <c r="G718" s="15">
        <f>SQRT(Описание!$B$13*G717^2+(1-Описание!$B$13)*D717^2)</f>
        <v/>
      </c>
      <c r="H718" s="17">
        <f>Описание!$B$9*F718*Описание!$B$7</f>
        <v/>
      </c>
      <c r="I718" s="17">
        <f>Описание!$B$9*G718*Описание!$B$7</f>
        <v/>
      </c>
    </row>
    <row r="719">
      <c r="A719" s="13" t="n">
        <v>39743</v>
      </c>
      <c r="B719" s="14" t="n">
        <v>1.2843</v>
      </c>
      <c r="C719" t="inlineStr">
        <is>
          <t>После</t>
        </is>
      </c>
      <c r="D719" s="15">
        <f>B719/B718-1</f>
        <v/>
      </c>
      <c r="E719" s="16">
        <f>LN(B719/B718)</f>
        <v/>
      </c>
      <c r="F719" s="15">
        <f>_xlfn.STDEV.S(OFFSET(D719,-Описание!$B$12,0,Описание!$B$12,1))</f>
        <v/>
      </c>
      <c r="G719" s="15">
        <f>SQRT(Описание!$B$13*G718^2+(1-Описание!$B$13)*D718^2)</f>
        <v/>
      </c>
      <c r="H719" s="17">
        <f>Описание!$B$9*F719*Описание!$B$7</f>
        <v/>
      </c>
      <c r="I719" s="17">
        <f>Описание!$B$9*G719*Описание!$B$7</f>
        <v/>
      </c>
    </row>
    <row r="720">
      <c r="A720" s="13" t="n">
        <v>39744</v>
      </c>
      <c r="B720" s="14" t="n">
        <v>1.281</v>
      </c>
      <c r="C720" t="inlineStr">
        <is>
          <t>После</t>
        </is>
      </c>
      <c r="D720" s="15">
        <f>B720/B719-1</f>
        <v/>
      </c>
      <c r="E720" s="16">
        <f>LN(B720/B719)</f>
        <v/>
      </c>
      <c r="F720" s="15">
        <f>_xlfn.STDEV.S(OFFSET(D720,-Описание!$B$12,0,Описание!$B$12,1))</f>
        <v/>
      </c>
      <c r="G720" s="15">
        <f>SQRT(Описание!$B$13*G719^2+(1-Описание!$B$13)*D719^2)</f>
        <v/>
      </c>
      <c r="H720" s="17">
        <f>Описание!$B$9*F720*Описание!$B$7</f>
        <v/>
      </c>
      <c r="I720" s="17">
        <f>Описание!$B$9*G720*Описание!$B$7</f>
        <v/>
      </c>
    </row>
    <row r="721">
      <c r="A721" s="13" t="n">
        <v>39745</v>
      </c>
      <c r="B721" s="14" t="n">
        <v>1.2596</v>
      </c>
      <c r="C721" t="inlineStr">
        <is>
          <t>После</t>
        </is>
      </c>
      <c r="D721" s="15">
        <f>B721/B720-1</f>
        <v/>
      </c>
      <c r="E721" s="16">
        <f>LN(B721/B720)</f>
        <v/>
      </c>
      <c r="F721" s="15">
        <f>_xlfn.STDEV.S(OFFSET(D721,-Описание!$B$12,0,Описание!$B$12,1))</f>
        <v/>
      </c>
      <c r="G721" s="15">
        <f>SQRT(Описание!$B$13*G720^2+(1-Описание!$B$13)*D720^2)</f>
        <v/>
      </c>
      <c r="H721" s="17">
        <f>Описание!$B$9*F721*Описание!$B$7</f>
        <v/>
      </c>
      <c r="I721" s="17">
        <f>Описание!$B$9*G721*Описание!$B$7</f>
        <v/>
      </c>
    </row>
    <row r="722">
      <c r="A722" s="13" t="n">
        <v>39748</v>
      </c>
      <c r="B722" s="14" t="n">
        <v>1.246</v>
      </c>
      <c r="C722" t="inlineStr">
        <is>
          <t>После</t>
        </is>
      </c>
      <c r="D722" s="15">
        <f>B722/B721-1</f>
        <v/>
      </c>
      <c r="E722" s="16">
        <f>LN(B722/B721)</f>
        <v/>
      </c>
      <c r="F722" s="15">
        <f>_xlfn.STDEV.S(OFFSET(D722,-Описание!$B$12,0,Описание!$B$12,1))</f>
        <v/>
      </c>
      <c r="G722" s="15">
        <f>SQRT(Описание!$B$13*G721^2+(1-Описание!$B$13)*D721^2)</f>
        <v/>
      </c>
      <c r="H722" s="17">
        <f>Описание!$B$9*F722*Описание!$B$7</f>
        <v/>
      </c>
      <c r="I722" s="17">
        <f>Описание!$B$9*G722*Описание!$B$7</f>
        <v/>
      </c>
    </row>
    <row r="723">
      <c r="A723" s="13" t="n">
        <v>39749</v>
      </c>
      <c r="B723" s="14" t="n">
        <v>1.2526</v>
      </c>
      <c r="C723" t="inlineStr">
        <is>
          <t>После</t>
        </is>
      </c>
      <c r="D723" s="15">
        <f>B723/B722-1</f>
        <v/>
      </c>
      <c r="E723" s="16">
        <f>LN(B723/B722)</f>
        <v/>
      </c>
      <c r="F723" s="15">
        <f>_xlfn.STDEV.S(OFFSET(D723,-Описание!$B$12,0,Описание!$B$12,1))</f>
        <v/>
      </c>
      <c r="G723" s="15">
        <f>SQRT(Описание!$B$13*G722^2+(1-Описание!$B$13)*D722^2)</f>
        <v/>
      </c>
      <c r="H723" s="17">
        <f>Описание!$B$9*F723*Описание!$B$7</f>
        <v/>
      </c>
      <c r="I723" s="17">
        <f>Описание!$B$9*G723*Описание!$B$7</f>
        <v/>
      </c>
    </row>
    <row r="724">
      <c r="A724" s="13" t="n">
        <v>39750</v>
      </c>
      <c r="B724" s="14" t="n">
        <v>1.277</v>
      </c>
      <c r="C724" t="inlineStr">
        <is>
          <t>После</t>
        </is>
      </c>
      <c r="D724" s="15">
        <f>B724/B723-1</f>
        <v/>
      </c>
      <c r="E724" s="16">
        <f>LN(B724/B723)</f>
        <v/>
      </c>
      <c r="F724" s="15">
        <f>_xlfn.STDEV.S(OFFSET(D724,-Описание!$B$12,0,Описание!$B$12,1))</f>
        <v/>
      </c>
      <c r="G724" s="15">
        <f>SQRT(Описание!$B$13*G723^2+(1-Описание!$B$13)*D723^2)</f>
        <v/>
      </c>
      <c r="H724" s="17">
        <f>Описание!$B$9*F724*Описание!$B$7</f>
        <v/>
      </c>
      <c r="I724" s="17">
        <f>Описание!$B$9*G724*Описание!$B$7</f>
        <v/>
      </c>
    </row>
    <row r="725">
      <c r="A725" s="13" t="n">
        <v>39751</v>
      </c>
      <c r="B725" s="14" t="n">
        <v>1.3035</v>
      </c>
      <c r="C725" t="inlineStr">
        <is>
          <t>После</t>
        </is>
      </c>
      <c r="D725" s="15">
        <f>B725/B724-1</f>
        <v/>
      </c>
      <c r="E725" s="16">
        <f>LN(B725/B724)</f>
        <v/>
      </c>
      <c r="F725" s="15">
        <f>_xlfn.STDEV.S(OFFSET(D725,-Описание!$B$12,0,Описание!$B$12,1))</f>
        <v/>
      </c>
      <c r="G725" s="15">
        <f>SQRT(Описание!$B$13*G724^2+(1-Описание!$B$13)*D724^2)</f>
        <v/>
      </c>
      <c r="H725" s="17">
        <f>Описание!$B$9*F725*Описание!$B$7</f>
        <v/>
      </c>
      <c r="I725" s="17">
        <f>Описание!$B$9*G725*Описание!$B$7</f>
        <v/>
      </c>
    </row>
    <row r="726">
      <c r="A726" s="13" t="n">
        <v>39752</v>
      </c>
      <c r="B726" s="14" t="n">
        <v>1.2757</v>
      </c>
      <c r="C726" t="inlineStr">
        <is>
          <t>После</t>
        </is>
      </c>
      <c r="D726" s="15">
        <f>B726/B725-1</f>
        <v/>
      </c>
      <c r="E726" s="16">
        <f>LN(B726/B725)</f>
        <v/>
      </c>
      <c r="F726" s="15">
        <f>_xlfn.STDEV.S(OFFSET(D726,-Описание!$B$12,0,Описание!$B$12,1))</f>
        <v/>
      </c>
      <c r="G726" s="15">
        <f>SQRT(Описание!$B$13*G725^2+(1-Описание!$B$13)*D725^2)</f>
        <v/>
      </c>
      <c r="H726" s="17">
        <f>Описание!$B$9*F726*Описание!$B$7</f>
        <v/>
      </c>
      <c r="I726" s="17">
        <f>Описание!$B$9*G726*Описание!$B$7</f>
        <v/>
      </c>
    </row>
    <row r="727">
      <c r="A727" s="13" t="n">
        <v>39755</v>
      </c>
      <c r="B727" s="14" t="n">
        <v>1.2822</v>
      </c>
      <c r="C727" t="inlineStr">
        <is>
          <t>После</t>
        </is>
      </c>
      <c r="D727" s="15">
        <f>B727/B726-1</f>
        <v/>
      </c>
      <c r="E727" s="16">
        <f>LN(B727/B726)</f>
        <v/>
      </c>
      <c r="F727" s="15">
        <f>_xlfn.STDEV.S(OFFSET(D727,-Описание!$B$12,0,Описание!$B$12,1))</f>
        <v/>
      </c>
      <c r="G727" s="15">
        <f>SQRT(Описание!$B$13*G726^2+(1-Описание!$B$13)*D726^2)</f>
        <v/>
      </c>
      <c r="H727" s="17">
        <f>Описание!$B$9*F727*Описание!$B$7</f>
        <v/>
      </c>
      <c r="I727" s="17">
        <f>Описание!$B$9*G727*Описание!$B$7</f>
        <v/>
      </c>
    </row>
    <row r="728">
      <c r="A728" s="13" t="n">
        <v>39756</v>
      </c>
      <c r="B728" s="14" t="n">
        <v>1.282</v>
      </c>
      <c r="C728" t="inlineStr">
        <is>
          <t>После</t>
        </is>
      </c>
      <c r="D728" s="15">
        <f>B728/B727-1</f>
        <v/>
      </c>
      <c r="E728" s="16">
        <f>LN(B728/B727)</f>
        <v/>
      </c>
      <c r="F728" s="15">
        <f>_xlfn.STDEV.S(OFFSET(D728,-Описание!$B$12,0,Описание!$B$12,1))</f>
        <v/>
      </c>
      <c r="G728" s="15">
        <f>SQRT(Описание!$B$13*G727^2+(1-Описание!$B$13)*D727^2)</f>
        <v/>
      </c>
      <c r="H728" s="17">
        <f>Описание!$B$9*F728*Описание!$B$7</f>
        <v/>
      </c>
      <c r="I728" s="17">
        <f>Описание!$B$9*G728*Описание!$B$7</f>
        <v/>
      </c>
    </row>
    <row r="729">
      <c r="A729" s="13" t="n">
        <v>39757</v>
      </c>
      <c r="B729" s="14" t="n">
        <v>1.287</v>
      </c>
      <c r="C729" t="inlineStr">
        <is>
          <t>После</t>
        </is>
      </c>
      <c r="D729" s="15">
        <f>B729/B728-1</f>
        <v/>
      </c>
      <c r="E729" s="16">
        <f>LN(B729/B728)</f>
        <v/>
      </c>
      <c r="F729" s="15">
        <f>_xlfn.STDEV.S(OFFSET(D729,-Описание!$B$12,0,Описание!$B$12,1))</f>
        <v/>
      </c>
      <c r="G729" s="15">
        <f>SQRT(Описание!$B$13*G728^2+(1-Описание!$B$13)*D728^2)</f>
        <v/>
      </c>
      <c r="H729" s="17">
        <f>Описание!$B$9*F729*Описание!$B$7</f>
        <v/>
      </c>
      <c r="I729" s="17">
        <f>Описание!$B$9*G729*Описание!$B$7</f>
        <v/>
      </c>
    </row>
    <row r="730">
      <c r="A730" s="13" t="n">
        <v>39758</v>
      </c>
      <c r="B730" s="14" t="n">
        <v>1.277</v>
      </c>
      <c r="C730" t="inlineStr">
        <is>
          <t>После</t>
        </is>
      </c>
      <c r="D730" s="15">
        <f>B730/B729-1</f>
        <v/>
      </c>
      <c r="E730" s="16">
        <f>LN(B730/B729)</f>
        <v/>
      </c>
      <c r="F730" s="15">
        <f>_xlfn.STDEV.S(OFFSET(D730,-Описание!$B$12,0,Описание!$B$12,1))</f>
        <v/>
      </c>
      <c r="G730" s="15">
        <f>SQRT(Описание!$B$13*G729^2+(1-Описание!$B$13)*D729^2)</f>
        <v/>
      </c>
      <c r="H730" s="17">
        <f>Описание!$B$9*F730*Описание!$B$7</f>
        <v/>
      </c>
      <c r="I730" s="17">
        <f>Описание!$B$9*G730*Описание!$B$7</f>
        <v/>
      </c>
    </row>
    <row r="731">
      <c r="A731" s="13" t="n">
        <v>39759</v>
      </c>
      <c r="B731" s="14" t="n">
        <v>1.2756</v>
      </c>
      <c r="C731" t="inlineStr">
        <is>
          <t>После</t>
        </is>
      </c>
      <c r="D731" s="15">
        <f>B731/B730-1</f>
        <v/>
      </c>
      <c r="E731" s="16">
        <f>LN(B731/B730)</f>
        <v/>
      </c>
      <c r="F731" s="15">
        <f>_xlfn.STDEV.S(OFFSET(D731,-Описание!$B$12,0,Описание!$B$12,1))</f>
        <v/>
      </c>
      <c r="G731" s="15">
        <f>SQRT(Описание!$B$13*G730^2+(1-Описание!$B$13)*D730^2)</f>
        <v/>
      </c>
      <c r="H731" s="17">
        <f>Описание!$B$9*F731*Описание!$B$7</f>
        <v/>
      </c>
      <c r="I731" s="17">
        <f>Описание!$B$9*G731*Описание!$B$7</f>
        <v/>
      </c>
    </row>
    <row r="732">
      <c r="A732" s="13" t="n">
        <v>39762</v>
      </c>
      <c r="B732" s="14" t="n">
        <v>1.2891</v>
      </c>
      <c r="C732" t="inlineStr">
        <is>
          <t>После</t>
        </is>
      </c>
      <c r="D732" s="15">
        <f>B732/B731-1</f>
        <v/>
      </c>
      <c r="E732" s="16">
        <f>LN(B732/B731)</f>
        <v/>
      </c>
      <c r="F732" s="15">
        <f>_xlfn.STDEV.S(OFFSET(D732,-Описание!$B$12,0,Описание!$B$12,1))</f>
        <v/>
      </c>
      <c r="G732" s="15">
        <f>SQRT(Описание!$B$13*G731^2+(1-Описание!$B$13)*D731^2)</f>
        <v/>
      </c>
      <c r="H732" s="17">
        <f>Описание!$B$9*F732*Описание!$B$7</f>
        <v/>
      </c>
      <c r="I732" s="17">
        <f>Описание!$B$9*G732*Описание!$B$7</f>
        <v/>
      </c>
    </row>
    <row r="733">
      <c r="A733" s="13" t="n">
        <v>39763</v>
      </c>
      <c r="B733" s="14" t="n">
        <v>1.2747</v>
      </c>
      <c r="C733" t="inlineStr">
        <is>
          <t>После</t>
        </is>
      </c>
      <c r="D733" s="15">
        <f>B733/B732-1</f>
        <v/>
      </c>
      <c r="E733" s="16">
        <f>LN(B733/B732)</f>
        <v/>
      </c>
      <c r="F733" s="15">
        <f>_xlfn.STDEV.S(OFFSET(D733,-Описание!$B$12,0,Описание!$B$12,1))</f>
        <v/>
      </c>
      <c r="G733" s="15">
        <f>SQRT(Описание!$B$13*G732^2+(1-Описание!$B$13)*D732^2)</f>
        <v/>
      </c>
      <c r="H733" s="17">
        <f>Описание!$B$9*F733*Описание!$B$7</f>
        <v/>
      </c>
      <c r="I733" s="17">
        <f>Описание!$B$9*G733*Описание!$B$7</f>
        <v/>
      </c>
    </row>
    <row r="734">
      <c r="A734" s="13" t="n">
        <v>39764</v>
      </c>
      <c r="B734" s="14" t="n">
        <v>1.253</v>
      </c>
      <c r="C734" t="inlineStr">
        <is>
          <t>После</t>
        </is>
      </c>
      <c r="D734" s="15">
        <f>B734/B733-1</f>
        <v/>
      </c>
      <c r="E734" s="16">
        <f>LN(B734/B733)</f>
        <v/>
      </c>
      <c r="F734" s="15">
        <f>_xlfn.STDEV.S(OFFSET(D734,-Описание!$B$12,0,Описание!$B$12,1))</f>
        <v/>
      </c>
      <c r="G734" s="15">
        <f>SQRT(Описание!$B$13*G733^2+(1-Описание!$B$13)*D733^2)</f>
        <v/>
      </c>
      <c r="H734" s="17">
        <f>Описание!$B$9*F734*Описание!$B$7</f>
        <v/>
      </c>
      <c r="I734" s="17">
        <f>Описание!$B$9*G734*Описание!$B$7</f>
        <v/>
      </c>
    </row>
    <row r="735">
      <c r="A735" s="13" t="n">
        <v>39765</v>
      </c>
      <c r="B735" s="14" t="n">
        <v>1.2525</v>
      </c>
      <c r="C735" t="inlineStr">
        <is>
          <t>После</t>
        </is>
      </c>
      <c r="D735" s="15">
        <f>B735/B734-1</f>
        <v/>
      </c>
      <c r="E735" s="16">
        <f>LN(B735/B734)</f>
        <v/>
      </c>
      <c r="F735" s="15">
        <f>_xlfn.STDEV.S(OFFSET(D735,-Описание!$B$12,0,Описание!$B$12,1))</f>
        <v/>
      </c>
      <c r="G735" s="15">
        <f>SQRT(Описание!$B$13*G734^2+(1-Описание!$B$13)*D734^2)</f>
        <v/>
      </c>
      <c r="H735" s="17">
        <f>Описание!$B$9*F735*Описание!$B$7</f>
        <v/>
      </c>
      <c r="I735" s="17">
        <f>Описание!$B$9*G735*Описание!$B$7</f>
        <v/>
      </c>
    </row>
    <row r="736">
      <c r="A736" s="13" t="n">
        <v>39766</v>
      </c>
      <c r="B736" s="14" t="n">
        <v>1.2675</v>
      </c>
      <c r="C736" t="inlineStr">
        <is>
          <t>После</t>
        </is>
      </c>
      <c r="D736" s="15">
        <f>B736/B735-1</f>
        <v/>
      </c>
      <c r="E736" s="16">
        <f>LN(B736/B735)</f>
        <v/>
      </c>
      <c r="F736" s="15">
        <f>_xlfn.STDEV.S(OFFSET(D736,-Описание!$B$12,0,Описание!$B$12,1))</f>
        <v/>
      </c>
      <c r="G736" s="15">
        <f>SQRT(Описание!$B$13*G735^2+(1-Описание!$B$13)*D735^2)</f>
        <v/>
      </c>
      <c r="H736" s="17">
        <f>Описание!$B$9*F736*Описание!$B$7</f>
        <v/>
      </c>
      <c r="I736" s="17">
        <f>Описание!$B$9*G736*Описание!$B$7</f>
        <v/>
      </c>
    </row>
    <row r="737">
      <c r="A737" s="13" t="n">
        <v>39769</v>
      </c>
      <c r="B737" s="14" t="n">
        <v>1.266</v>
      </c>
      <c r="C737" t="inlineStr">
        <is>
          <t>После</t>
        </is>
      </c>
      <c r="D737" s="15">
        <f>B737/B736-1</f>
        <v/>
      </c>
      <c r="E737" s="16">
        <f>LN(B737/B736)</f>
        <v/>
      </c>
      <c r="F737" s="15">
        <f>_xlfn.STDEV.S(OFFSET(D737,-Описание!$B$12,0,Описание!$B$12,1))</f>
        <v/>
      </c>
      <c r="G737" s="15">
        <f>SQRT(Описание!$B$13*G736^2+(1-Описание!$B$13)*D736^2)</f>
        <v/>
      </c>
      <c r="H737" s="17">
        <f>Описание!$B$9*F737*Описание!$B$7</f>
        <v/>
      </c>
      <c r="I737" s="17">
        <f>Описание!$B$9*G737*Описание!$B$7</f>
        <v/>
      </c>
    </row>
    <row r="738">
      <c r="A738" s="13" t="n">
        <v>39770</v>
      </c>
      <c r="B738" s="14" t="n">
        <v>1.2653</v>
      </c>
      <c r="C738" t="inlineStr">
        <is>
          <t>После</t>
        </is>
      </c>
      <c r="D738" s="15">
        <f>B738/B737-1</f>
        <v/>
      </c>
      <c r="E738" s="16">
        <f>LN(B738/B737)</f>
        <v/>
      </c>
      <c r="F738" s="15">
        <f>_xlfn.STDEV.S(OFFSET(D738,-Описание!$B$12,0,Описание!$B$12,1))</f>
        <v/>
      </c>
      <c r="G738" s="15">
        <f>SQRT(Описание!$B$13*G737^2+(1-Описание!$B$13)*D737^2)</f>
        <v/>
      </c>
      <c r="H738" s="17">
        <f>Описание!$B$9*F738*Описание!$B$7</f>
        <v/>
      </c>
      <c r="I738" s="17">
        <f>Описание!$B$9*G738*Описание!$B$7</f>
        <v/>
      </c>
    </row>
    <row r="739">
      <c r="A739" s="13" t="n">
        <v>39771</v>
      </c>
      <c r="B739" s="14" t="n">
        <v>1.2634</v>
      </c>
      <c r="C739" t="inlineStr">
        <is>
          <t>После</t>
        </is>
      </c>
      <c r="D739" s="15">
        <f>B739/B738-1</f>
        <v/>
      </c>
      <c r="E739" s="16">
        <f>LN(B739/B738)</f>
        <v/>
      </c>
      <c r="F739" s="15">
        <f>_xlfn.STDEV.S(OFFSET(D739,-Описание!$B$12,0,Описание!$B$12,1))</f>
        <v/>
      </c>
      <c r="G739" s="15">
        <f>SQRT(Описание!$B$13*G738^2+(1-Описание!$B$13)*D738^2)</f>
        <v/>
      </c>
      <c r="H739" s="17">
        <f>Описание!$B$9*F739*Описание!$B$7</f>
        <v/>
      </c>
      <c r="I739" s="17">
        <f>Описание!$B$9*G739*Описание!$B$7</f>
        <v/>
      </c>
    </row>
    <row r="740">
      <c r="A740" s="13" t="n">
        <v>39772</v>
      </c>
      <c r="B740" s="14" t="n">
        <v>1.2542</v>
      </c>
      <c r="C740" t="inlineStr">
        <is>
          <t>После</t>
        </is>
      </c>
      <c r="D740" s="15">
        <f>B740/B739-1</f>
        <v/>
      </c>
      <c r="E740" s="16">
        <f>LN(B740/B739)</f>
        <v/>
      </c>
      <c r="F740" s="15">
        <f>_xlfn.STDEV.S(OFFSET(D740,-Описание!$B$12,0,Описание!$B$12,1))</f>
        <v/>
      </c>
      <c r="G740" s="15">
        <f>SQRT(Описание!$B$13*G739^2+(1-Описание!$B$13)*D739^2)</f>
        <v/>
      </c>
      <c r="H740" s="17">
        <f>Описание!$B$9*F740*Описание!$B$7</f>
        <v/>
      </c>
      <c r="I740" s="17">
        <f>Описание!$B$9*G740*Описание!$B$7</f>
        <v/>
      </c>
    </row>
    <row r="741">
      <c r="A741" s="13" t="n">
        <v>39773</v>
      </c>
      <c r="B741" s="14" t="n">
        <v>1.2602</v>
      </c>
      <c r="C741" t="inlineStr">
        <is>
          <t>После</t>
        </is>
      </c>
      <c r="D741" s="15">
        <f>B741/B740-1</f>
        <v/>
      </c>
      <c r="E741" s="16">
        <f>LN(B741/B740)</f>
        <v/>
      </c>
      <c r="F741" s="15">
        <f>_xlfn.STDEV.S(OFFSET(D741,-Описание!$B$12,0,Описание!$B$12,1))</f>
        <v/>
      </c>
      <c r="G741" s="15">
        <f>SQRT(Описание!$B$13*G740^2+(1-Описание!$B$13)*D740^2)</f>
        <v/>
      </c>
      <c r="H741" s="17">
        <f>Описание!$B$9*F741*Описание!$B$7</f>
        <v/>
      </c>
      <c r="I741" s="17">
        <f>Описание!$B$9*G741*Описание!$B$7</f>
        <v/>
      </c>
    </row>
    <row r="742">
      <c r="A742" s="13" t="n">
        <v>39776</v>
      </c>
      <c r="B742" s="14" t="n">
        <v>1.2773</v>
      </c>
      <c r="C742" t="inlineStr">
        <is>
          <t>После</t>
        </is>
      </c>
      <c r="D742" s="15">
        <f>B742/B741-1</f>
        <v/>
      </c>
      <c r="E742" s="16">
        <f>LN(B742/B741)</f>
        <v/>
      </c>
      <c r="F742" s="15">
        <f>_xlfn.STDEV.S(OFFSET(D742,-Описание!$B$12,0,Описание!$B$12,1))</f>
        <v/>
      </c>
      <c r="G742" s="15">
        <f>SQRT(Описание!$B$13*G741^2+(1-Описание!$B$13)*D741^2)</f>
        <v/>
      </c>
      <c r="H742" s="17">
        <f>Описание!$B$9*F742*Описание!$B$7</f>
        <v/>
      </c>
      <c r="I742" s="17">
        <f>Описание!$B$9*G742*Описание!$B$7</f>
        <v/>
      </c>
    </row>
    <row r="743">
      <c r="A743" s="13" t="n">
        <v>39777</v>
      </c>
      <c r="B743" s="14" t="n">
        <v>1.2811</v>
      </c>
      <c r="C743" t="inlineStr">
        <is>
          <t>После</t>
        </is>
      </c>
      <c r="D743" s="15">
        <f>B743/B742-1</f>
        <v/>
      </c>
      <c r="E743" s="16">
        <f>LN(B743/B742)</f>
        <v/>
      </c>
      <c r="F743" s="15">
        <f>_xlfn.STDEV.S(OFFSET(D743,-Описание!$B$12,0,Описание!$B$12,1))</f>
        <v/>
      </c>
      <c r="G743" s="15">
        <f>SQRT(Описание!$B$13*G742^2+(1-Описание!$B$13)*D742^2)</f>
        <v/>
      </c>
      <c r="H743" s="17">
        <f>Описание!$B$9*F743*Описание!$B$7</f>
        <v/>
      </c>
      <c r="I743" s="17">
        <f>Описание!$B$9*G743*Описание!$B$7</f>
        <v/>
      </c>
    </row>
    <row r="744">
      <c r="A744" s="13" t="n">
        <v>39778</v>
      </c>
      <c r="B744" s="14" t="n">
        <v>1.2935</v>
      </c>
      <c r="C744" t="inlineStr">
        <is>
          <t>После</t>
        </is>
      </c>
      <c r="D744" s="15">
        <f>B744/B743-1</f>
        <v/>
      </c>
      <c r="E744" s="16">
        <f>LN(B744/B743)</f>
        <v/>
      </c>
      <c r="F744" s="15">
        <f>_xlfn.STDEV.S(OFFSET(D744,-Описание!$B$12,0,Описание!$B$12,1))</f>
        <v/>
      </c>
      <c r="G744" s="15">
        <f>SQRT(Описание!$B$13*G743^2+(1-Описание!$B$13)*D743^2)</f>
        <v/>
      </c>
      <c r="H744" s="17">
        <f>Описание!$B$9*F744*Описание!$B$7</f>
        <v/>
      </c>
      <c r="I744" s="17">
        <f>Описание!$B$9*G744*Описание!$B$7</f>
        <v/>
      </c>
    </row>
    <row r="745">
      <c r="A745" s="13" t="n">
        <v>39779</v>
      </c>
      <c r="B745" s="14" t="n">
        <v>1.29</v>
      </c>
      <c r="C745" t="inlineStr">
        <is>
          <t>После</t>
        </is>
      </c>
      <c r="D745" s="15">
        <f>B745/B744-1</f>
        <v/>
      </c>
      <c r="E745" s="16">
        <f>LN(B745/B744)</f>
        <v/>
      </c>
      <c r="F745" s="15">
        <f>_xlfn.STDEV.S(OFFSET(D745,-Описание!$B$12,0,Описание!$B$12,1))</f>
        <v/>
      </c>
      <c r="G745" s="15">
        <f>SQRT(Описание!$B$13*G744^2+(1-Описание!$B$13)*D744^2)</f>
        <v/>
      </c>
      <c r="H745" s="17">
        <f>Описание!$B$9*F745*Описание!$B$7</f>
        <v/>
      </c>
      <c r="I745" s="17">
        <f>Описание!$B$9*G745*Описание!$B$7</f>
        <v/>
      </c>
    </row>
    <row r="746">
      <c r="A746" s="13" t="n">
        <v>39780</v>
      </c>
      <c r="B746" s="14" t="n">
        <v>1.2727</v>
      </c>
      <c r="C746" t="inlineStr">
        <is>
          <t>После</t>
        </is>
      </c>
      <c r="D746" s="15">
        <f>B746/B745-1</f>
        <v/>
      </c>
      <c r="E746" s="16">
        <f>LN(B746/B745)</f>
        <v/>
      </c>
      <c r="F746" s="15">
        <f>_xlfn.STDEV.S(OFFSET(D746,-Описание!$B$12,0,Описание!$B$12,1))</f>
        <v/>
      </c>
      <c r="G746" s="15">
        <f>SQRT(Описание!$B$13*G745^2+(1-Описание!$B$13)*D745^2)</f>
        <v/>
      </c>
      <c r="H746" s="17">
        <f>Описание!$B$9*F746*Описание!$B$7</f>
        <v/>
      </c>
      <c r="I746" s="17">
        <f>Описание!$B$9*G746*Описание!$B$7</f>
        <v/>
      </c>
    </row>
    <row r="747">
      <c r="A747" s="13" t="n">
        <v>39783</v>
      </c>
      <c r="B747" s="14" t="n">
        <v>1.2608</v>
      </c>
      <c r="C747" t="inlineStr">
        <is>
          <t>После</t>
        </is>
      </c>
      <c r="D747" s="15">
        <f>B747/B746-1</f>
        <v/>
      </c>
      <c r="E747" s="16">
        <f>LN(B747/B746)</f>
        <v/>
      </c>
      <c r="F747" s="15">
        <f>_xlfn.STDEV.S(OFFSET(D747,-Описание!$B$12,0,Описание!$B$12,1))</f>
        <v/>
      </c>
      <c r="G747" s="15">
        <f>SQRT(Описание!$B$13*G746^2+(1-Описание!$B$13)*D746^2)</f>
        <v/>
      </c>
      <c r="H747" s="17">
        <f>Описание!$B$9*F747*Описание!$B$7</f>
        <v/>
      </c>
      <c r="I747" s="17">
        <f>Описание!$B$9*G747*Описание!$B$7</f>
        <v/>
      </c>
    </row>
    <row r="748">
      <c r="A748" s="13" t="n">
        <v>39784</v>
      </c>
      <c r="B748" s="14" t="n">
        <v>1.2697</v>
      </c>
      <c r="C748" t="inlineStr">
        <is>
          <t>После</t>
        </is>
      </c>
      <c r="D748" s="15">
        <f>B748/B747-1</f>
        <v/>
      </c>
      <c r="E748" s="16">
        <f>LN(B748/B747)</f>
        <v/>
      </c>
      <c r="F748" s="15">
        <f>_xlfn.STDEV.S(OFFSET(D748,-Описание!$B$12,0,Описание!$B$12,1))</f>
        <v/>
      </c>
      <c r="G748" s="15">
        <f>SQRT(Описание!$B$13*G747^2+(1-Описание!$B$13)*D747^2)</f>
        <v/>
      </c>
      <c r="H748" s="17">
        <f>Описание!$B$9*F748*Описание!$B$7</f>
        <v/>
      </c>
      <c r="I748" s="17">
        <f>Описание!$B$9*G748*Описание!$B$7</f>
        <v/>
      </c>
    </row>
    <row r="749">
      <c r="A749" s="13" t="n">
        <v>39785</v>
      </c>
      <c r="B749" s="14" t="n">
        <v>1.2623</v>
      </c>
      <c r="C749" t="inlineStr">
        <is>
          <t>После</t>
        </is>
      </c>
      <c r="D749" s="15">
        <f>B749/B748-1</f>
        <v/>
      </c>
      <c r="E749" s="16">
        <f>LN(B749/B748)</f>
        <v/>
      </c>
      <c r="F749" s="15">
        <f>_xlfn.STDEV.S(OFFSET(D749,-Описание!$B$12,0,Описание!$B$12,1))</f>
        <v/>
      </c>
      <c r="G749" s="15">
        <f>SQRT(Описание!$B$13*G748^2+(1-Описание!$B$13)*D748^2)</f>
        <v/>
      </c>
      <c r="H749" s="17">
        <f>Описание!$B$9*F749*Описание!$B$7</f>
        <v/>
      </c>
      <c r="I749" s="17">
        <f>Описание!$B$9*G749*Описание!$B$7</f>
        <v/>
      </c>
    </row>
    <row r="750">
      <c r="A750" s="13" t="n">
        <v>39786</v>
      </c>
      <c r="B750" s="14" t="n">
        <v>1.262</v>
      </c>
      <c r="C750" t="inlineStr">
        <is>
          <t>После</t>
        </is>
      </c>
      <c r="D750" s="15">
        <f>B750/B749-1</f>
        <v/>
      </c>
      <c r="E750" s="16">
        <f>LN(B750/B749)</f>
        <v/>
      </c>
      <c r="F750" s="15">
        <f>_xlfn.STDEV.S(OFFSET(D750,-Описание!$B$12,0,Описание!$B$12,1))</f>
        <v/>
      </c>
      <c r="G750" s="15">
        <f>SQRT(Описание!$B$13*G749^2+(1-Описание!$B$13)*D749^2)</f>
        <v/>
      </c>
      <c r="H750" s="17">
        <f>Описание!$B$9*F750*Описание!$B$7</f>
        <v/>
      </c>
      <c r="I750" s="17">
        <f>Описание!$B$9*G750*Описание!$B$7</f>
        <v/>
      </c>
    </row>
    <row r="751">
      <c r="A751" s="13" t="n">
        <v>39787</v>
      </c>
      <c r="B751" s="14" t="n">
        <v>1.2665</v>
      </c>
      <c r="C751" t="inlineStr">
        <is>
          <t>После</t>
        </is>
      </c>
      <c r="D751" s="15">
        <f>B751/B750-1</f>
        <v/>
      </c>
      <c r="E751" s="16">
        <f>LN(B751/B750)</f>
        <v/>
      </c>
      <c r="F751" s="15">
        <f>_xlfn.STDEV.S(OFFSET(D751,-Описание!$B$12,0,Описание!$B$12,1))</f>
        <v/>
      </c>
      <c r="G751" s="15">
        <f>SQRT(Описание!$B$13*G750^2+(1-Описание!$B$13)*D750^2)</f>
        <v/>
      </c>
      <c r="H751" s="17">
        <f>Описание!$B$9*F751*Описание!$B$7</f>
        <v/>
      </c>
      <c r="I751" s="17">
        <f>Описание!$B$9*G751*Описание!$B$7</f>
        <v/>
      </c>
    </row>
    <row r="752">
      <c r="A752" s="13" t="n">
        <v>39790</v>
      </c>
      <c r="B752" s="14" t="n">
        <v>1.2854</v>
      </c>
      <c r="C752" t="inlineStr">
        <is>
          <t>После</t>
        </is>
      </c>
      <c r="D752" s="15">
        <f>B752/B751-1</f>
        <v/>
      </c>
      <c r="E752" s="16">
        <f>LN(B752/B751)</f>
        <v/>
      </c>
      <c r="F752" s="15">
        <f>_xlfn.STDEV.S(OFFSET(D752,-Описание!$B$12,0,Описание!$B$12,1))</f>
        <v/>
      </c>
      <c r="G752" s="15">
        <f>SQRT(Описание!$B$13*G751^2+(1-Описание!$B$13)*D751^2)</f>
        <v/>
      </c>
      <c r="H752" s="17">
        <f>Описание!$B$9*F752*Описание!$B$7</f>
        <v/>
      </c>
      <c r="I752" s="17">
        <f>Описание!$B$9*G752*Описание!$B$7</f>
        <v/>
      </c>
    </row>
    <row r="753">
      <c r="A753" s="13" t="n">
        <v>39791</v>
      </c>
      <c r="B753" s="14" t="n">
        <v>1.2838</v>
      </c>
      <c r="C753" t="inlineStr">
        <is>
          <t>После</t>
        </is>
      </c>
      <c r="D753" s="15">
        <f>B753/B752-1</f>
        <v/>
      </c>
      <c r="E753" s="16">
        <f>LN(B753/B752)</f>
        <v/>
      </c>
      <c r="F753" s="15">
        <f>_xlfn.STDEV.S(OFFSET(D753,-Описание!$B$12,0,Описание!$B$12,1))</f>
        <v/>
      </c>
      <c r="G753" s="15">
        <f>SQRT(Описание!$B$13*G752^2+(1-Описание!$B$13)*D752^2)</f>
        <v/>
      </c>
      <c r="H753" s="17">
        <f>Описание!$B$9*F753*Описание!$B$7</f>
        <v/>
      </c>
      <c r="I753" s="17">
        <f>Описание!$B$9*G753*Описание!$B$7</f>
        <v/>
      </c>
    </row>
    <row r="754">
      <c r="A754" s="13" t="n">
        <v>39792</v>
      </c>
      <c r="B754" s="14" t="n">
        <v>1.2925</v>
      </c>
      <c r="C754" t="inlineStr">
        <is>
          <t>После</t>
        </is>
      </c>
      <c r="D754" s="15">
        <f>B754/B753-1</f>
        <v/>
      </c>
      <c r="E754" s="16">
        <f>LN(B754/B753)</f>
        <v/>
      </c>
      <c r="F754" s="15">
        <f>_xlfn.STDEV.S(OFFSET(D754,-Описание!$B$12,0,Описание!$B$12,1))</f>
        <v/>
      </c>
      <c r="G754" s="15">
        <f>SQRT(Описание!$B$13*G753^2+(1-Описание!$B$13)*D753^2)</f>
        <v/>
      </c>
      <c r="H754" s="17">
        <f>Описание!$B$9*F754*Описание!$B$7</f>
        <v/>
      </c>
      <c r="I754" s="17">
        <f>Описание!$B$9*G754*Описание!$B$7</f>
        <v/>
      </c>
    </row>
    <row r="755">
      <c r="A755" s="13" t="n">
        <v>39793</v>
      </c>
      <c r="B755" s="14" t="n">
        <v>1.3215</v>
      </c>
      <c r="C755" t="inlineStr">
        <is>
          <t>После</t>
        </is>
      </c>
      <c r="D755" s="15">
        <f>B755/B754-1</f>
        <v/>
      </c>
      <c r="E755" s="16">
        <f>LN(B755/B754)</f>
        <v/>
      </c>
      <c r="F755" s="15">
        <f>_xlfn.STDEV.S(OFFSET(D755,-Описание!$B$12,0,Описание!$B$12,1))</f>
        <v/>
      </c>
      <c r="G755" s="15">
        <f>SQRT(Описание!$B$13*G754^2+(1-Описание!$B$13)*D754^2)</f>
        <v/>
      </c>
      <c r="H755" s="17">
        <f>Описание!$B$9*F755*Описание!$B$7</f>
        <v/>
      </c>
      <c r="I755" s="17">
        <f>Описание!$B$9*G755*Описание!$B$7</f>
        <v/>
      </c>
    </row>
    <row r="756">
      <c r="A756" s="13" t="n">
        <v>39794</v>
      </c>
      <c r="B756" s="14" t="n">
        <v>1.334</v>
      </c>
      <c r="C756" t="inlineStr">
        <is>
          <t>После</t>
        </is>
      </c>
      <c r="D756" s="15">
        <f>B756/B755-1</f>
        <v/>
      </c>
      <c r="E756" s="16">
        <f>LN(B756/B755)</f>
        <v/>
      </c>
      <c r="F756" s="15">
        <f>_xlfn.STDEV.S(OFFSET(D756,-Описание!$B$12,0,Описание!$B$12,1))</f>
        <v/>
      </c>
      <c r="G756" s="15">
        <f>SQRT(Описание!$B$13*G755^2+(1-Описание!$B$13)*D755^2)</f>
        <v/>
      </c>
      <c r="H756" s="17">
        <f>Описание!$B$9*F756*Описание!$B$7</f>
        <v/>
      </c>
      <c r="I756" s="17">
        <f>Описание!$B$9*G756*Описание!$B$7</f>
        <v/>
      </c>
    </row>
    <row r="757">
      <c r="A757" s="13" t="n">
        <v>39797</v>
      </c>
      <c r="B757" s="14" t="n">
        <v>1.351</v>
      </c>
      <c r="C757" t="inlineStr">
        <is>
          <t>После</t>
        </is>
      </c>
      <c r="D757" s="15">
        <f>B757/B756-1</f>
        <v/>
      </c>
      <c r="E757" s="16">
        <f>LN(B757/B756)</f>
        <v/>
      </c>
      <c r="F757" s="15">
        <f>_xlfn.STDEV.S(OFFSET(D757,-Описание!$B$12,0,Описание!$B$12,1))</f>
        <v/>
      </c>
      <c r="G757" s="15">
        <f>SQRT(Описание!$B$13*G756^2+(1-Описание!$B$13)*D756^2)</f>
        <v/>
      </c>
      <c r="H757" s="17">
        <f>Описание!$B$9*F757*Описание!$B$7</f>
        <v/>
      </c>
      <c r="I757" s="17">
        <f>Описание!$B$9*G757*Описание!$B$7</f>
        <v/>
      </c>
    </row>
    <row r="758">
      <c r="A758" s="13" t="n">
        <v>39798</v>
      </c>
      <c r="B758" s="14" t="n">
        <v>1.369</v>
      </c>
      <c r="C758" t="inlineStr">
        <is>
          <t>После</t>
        </is>
      </c>
      <c r="D758" s="15">
        <f>B758/B757-1</f>
        <v/>
      </c>
      <c r="E758" s="16">
        <f>LN(B758/B757)</f>
        <v/>
      </c>
      <c r="F758" s="15">
        <f>_xlfn.STDEV.S(OFFSET(D758,-Описание!$B$12,0,Описание!$B$12,1))</f>
        <v/>
      </c>
      <c r="G758" s="15">
        <f>SQRT(Описание!$B$13*G757^2+(1-Описание!$B$13)*D757^2)</f>
        <v/>
      </c>
      <c r="H758" s="17">
        <f>Описание!$B$9*F758*Описание!$B$7</f>
        <v/>
      </c>
      <c r="I758" s="17">
        <f>Описание!$B$9*G758*Описание!$B$7</f>
        <v/>
      </c>
    </row>
    <row r="759">
      <c r="A759" s="13" t="n">
        <v>39799</v>
      </c>
      <c r="B759" s="14" t="n">
        <v>1.4059</v>
      </c>
      <c r="C759" t="inlineStr">
        <is>
          <t>После</t>
        </is>
      </c>
      <c r="D759" s="15">
        <f>B759/B758-1</f>
        <v/>
      </c>
      <c r="E759" s="16">
        <f>LN(B759/B758)</f>
        <v/>
      </c>
      <c r="F759" s="15">
        <f>_xlfn.STDEV.S(OFFSET(D759,-Описание!$B$12,0,Описание!$B$12,1))</f>
        <v/>
      </c>
      <c r="G759" s="15">
        <f>SQRT(Описание!$B$13*G758^2+(1-Описание!$B$13)*D758^2)</f>
        <v/>
      </c>
      <c r="H759" s="17">
        <f>Описание!$B$9*F759*Описание!$B$7</f>
        <v/>
      </c>
      <c r="I759" s="17">
        <f>Описание!$B$9*G759*Описание!$B$7</f>
        <v/>
      </c>
    </row>
    <row r="760">
      <c r="A760" s="13" t="n">
        <v>39800</v>
      </c>
      <c r="B760" s="14" t="n">
        <v>1.4616</v>
      </c>
      <c r="C760" t="inlineStr">
        <is>
          <t>После</t>
        </is>
      </c>
      <c r="D760" s="15">
        <f>B760/B759-1</f>
        <v/>
      </c>
      <c r="E760" s="16">
        <f>LN(B760/B759)</f>
        <v/>
      </c>
      <c r="F760" s="15">
        <f>_xlfn.STDEV.S(OFFSET(D760,-Описание!$B$12,0,Описание!$B$12,1))</f>
        <v/>
      </c>
      <c r="G760" s="15">
        <f>SQRT(Описание!$B$13*G759^2+(1-Описание!$B$13)*D759^2)</f>
        <v/>
      </c>
      <c r="H760" s="17">
        <f>Описание!$B$9*F760*Описание!$B$7</f>
        <v/>
      </c>
      <c r="I760" s="17">
        <f>Описание!$B$9*G760*Описание!$B$7</f>
        <v/>
      </c>
    </row>
    <row r="761">
      <c r="A761" s="13" t="n">
        <v>39801</v>
      </c>
      <c r="B761" s="14" t="n">
        <v>1.394</v>
      </c>
      <c r="C761" t="inlineStr">
        <is>
          <t>После</t>
        </is>
      </c>
      <c r="D761" s="15">
        <f>B761/B760-1</f>
        <v/>
      </c>
      <c r="E761" s="16">
        <f>LN(B761/B760)</f>
        <v/>
      </c>
      <c r="F761" s="15">
        <f>_xlfn.STDEV.S(OFFSET(D761,-Описание!$B$12,0,Описание!$B$12,1))</f>
        <v/>
      </c>
      <c r="G761" s="15">
        <f>SQRT(Описание!$B$13*G760^2+(1-Описание!$B$13)*D760^2)</f>
        <v/>
      </c>
      <c r="H761" s="17">
        <f>Описание!$B$9*F761*Описание!$B$7</f>
        <v/>
      </c>
      <c r="I761" s="17">
        <f>Описание!$B$9*G761*Описание!$B$7</f>
        <v/>
      </c>
    </row>
    <row r="762">
      <c r="A762" s="13" t="n">
        <v>39804</v>
      </c>
      <c r="B762" s="14" t="n">
        <v>1.397</v>
      </c>
      <c r="C762" t="inlineStr">
        <is>
          <t>После</t>
        </is>
      </c>
      <c r="D762" s="15">
        <f>B762/B761-1</f>
        <v/>
      </c>
      <c r="E762" s="16">
        <f>LN(B762/B761)</f>
        <v/>
      </c>
      <c r="F762" s="15">
        <f>_xlfn.STDEV.S(OFFSET(D762,-Описание!$B$12,0,Описание!$B$12,1))</f>
        <v/>
      </c>
      <c r="G762" s="15">
        <f>SQRT(Описание!$B$13*G761^2+(1-Описание!$B$13)*D761^2)</f>
        <v/>
      </c>
      <c r="H762" s="17">
        <f>Описание!$B$9*F762*Описание!$B$7</f>
        <v/>
      </c>
      <c r="I762" s="17">
        <f>Описание!$B$9*G762*Описание!$B$7</f>
        <v/>
      </c>
    </row>
    <row r="763">
      <c r="A763" s="13" t="n">
        <v>39805</v>
      </c>
      <c r="B763" s="14" t="n">
        <v>1.3978</v>
      </c>
      <c r="C763" t="inlineStr">
        <is>
          <t>После</t>
        </is>
      </c>
      <c r="D763" s="15">
        <f>B763/B762-1</f>
        <v/>
      </c>
      <c r="E763" s="16">
        <f>LN(B763/B762)</f>
        <v/>
      </c>
      <c r="F763" s="15">
        <f>_xlfn.STDEV.S(OFFSET(D763,-Описание!$B$12,0,Описание!$B$12,1))</f>
        <v/>
      </c>
      <c r="G763" s="15">
        <f>SQRT(Описание!$B$13*G762^2+(1-Описание!$B$13)*D762^2)</f>
        <v/>
      </c>
      <c r="H763" s="17">
        <f>Описание!$B$9*F763*Описание!$B$7</f>
        <v/>
      </c>
      <c r="I763" s="17">
        <f>Описание!$B$9*G763*Описание!$B$7</f>
        <v/>
      </c>
    </row>
    <row r="764">
      <c r="A764" s="13" t="n">
        <v>39806</v>
      </c>
      <c r="B764" s="14" t="n">
        <v>1.4005</v>
      </c>
      <c r="C764" t="inlineStr">
        <is>
          <t>После</t>
        </is>
      </c>
      <c r="D764" s="15">
        <f>B764/B763-1</f>
        <v/>
      </c>
      <c r="E764" s="16">
        <f>LN(B764/B763)</f>
        <v/>
      </c>
      <c r="F764" s="15">
        <f>_xlfn.STDEV.S(OFFSET(D764,-Описание!$B$12,0,Описание!$B$12,1))</f>
        <v/>
      </c>
      <c r="G764" s="15">
        <f>SQRT(Описание!$B$13*G763^2+(1-Описание!$B$13)*D763^2)</f>
        <v/>
      </c>
      <c r="H764" s="17">
        <f>Описание!$B$9*F764*Описание!$B$7</f>
        <v/>
      </c>
      <c r="I764" s="17">
        <f>Описание!$B$9*G764*Описание!$B$7</f>
        <v/>
      </c>
    </row>
    <row r="765">
      <c r="A765" s="13" t="n">
        <v>39811</v>
      </c>
      <c r="B765" s="14" t="n">
        <v>1.427</v>
      </c>
      <c r="C765" t="inlineStr">
        <is>
          <t>После</t>
        </is>
      </c>
      <c r="D765" s="15">
        <f>B765/B764-1</f>
        <v/>
      </c>
      <c r="E765" s="16">
        <f>LN(B765/B764)</f>
        <v/>
      </c>
      <c r="F765" s="15">
        <f>_xlfn.STDEV.S(OFFSET(D765,-Описание!$B$12,0,Описание!$B$12,1))</f>
        <v/>
      </c>
      <c r="G765" s="15">
        <f>SQRT(Описание!$B$13*G764^2+(1-Описание!$B$13)*D764^2)</f>
        <v/>
      </c>
      <c r="H765" s="17">
        <f>Описание!$B$9*F765*Описание!$B$7</f>
        <v/>
      </c>
      <c r="I765" s="17">
        <f>Описание!$B$9*G765*Описание!$B$7</f>
        <v/>
      </c>
    </row>
    <row r="766">
      <c r="A766" s="13" t="n">
        <v>39812</v>
      </c>
      <c r="B766" s="14" t="n">
        <v>1.4098</v>
      </c>
      <c r="C766" t="inlineStr">
        <is>
          <t>После</t>
        </is>
      </c>
      <c r="D766" s="15">
        <f>B766/B765-1</f>
        <v/>
      </c>
      <c r="E766" s="16">
        <f>LN(B766/B765)</f>
        <v/>
      </c>
      <c r="F766" s="15">
        <f>_xlfn.STDEV.S(OFFSET(D766,-Описание!$B$12,0,Описание!$B$12,1))</f>
        <v/>
      </c>
      <c r="G766" s="15">
        <f>SQRT(Описание!$B$13*G765^2+(1-Описание!$B$13)*D765^2)</f>
        <v/>
      </c>
      <c r="H766" s="17">
        <f>Описание!$B$9*F766*Описание!$B$7</f>
        <v/>
      </c>
      <c r="I766" s="17">
        <f>Описание!$B$9*G766*Описание!$B$7</f>
        <v/>
      </c>
    </row>
    <row r="767">
      <c r="A767" s="13" t="n">
        <v>39813</v>
      </c>
      <c r="B767" s="14" t="n">
        <v>1.3917</v>
      </c>
      <c r="C767" t="inlineStr">
        <is>
          <t>После</t>
        </is>
      </c>
      <c r="D767" s="15">
        <f>B767/B766-1</f>
        <v/>
      </c>
      <c r="E767" s="16">
        <f>LN(B767/B766)</f>
        <v/>
      </c>
      <c r="F767" s="15">
        <f>_xlfn.STDEV.S(OFFSET(D767,-Описание!$B$12,0,Описание!$B$12,1))</f>
        <v/>
      </c>
      <c r="G767" s="15">
        <f>SQRT(Описание!$B$13*G766^2+(1-Описание!$B$13)*D766^2)</f>
        <v/>
      </c>
      <c r="H767" s="17">
        <f>Описание!$B$9*F767*Описание!$B$7</f>
        <v/>
      </c>
      <c r="I767" s="17">
        <f>Описание!$B$9*G767*Описание!$B$7</f>
        <v/>
      </c>
    </row>
    <row r="768">
      <c r="A768" s="13" t="n">
        <v>39815</v>
      </c>
      <c r="B768" s="14" t="n">
        <v>1.3866</v>
      </c>
      <c r="C768" t="inlineStr">
        <is>
          <t>После</t>
        </is>
      </c>
      <c r="D768" s="15">
        <f>B768/B767-1</f>
        <v/>
      </c>
      <c r="E768" s="16">
        <f>LN(B768/B767)</f>
        <v/>
      </c>
      <c r="F768" s="15">
        <f>_xlfn.STDEV.S(OFFSET(D768,-Описание!$B$12,0,Описание!$B$12,1))</f>
        <v/>
      </c>
      <c r="G768" s="15">
        <f>SQRT(Описание!$B$13*G767^2+(1-Описание!$B$13)*D767^2)</f>
        <v/>
      </c>
      <c r="H768" s="17">
        <f>Описание!$B$9*F768*Описание!$B$7</f>
        <v/>
      </c>
      <c r="I768" s="17">
        <f>Описание!$B$9*G768*Описание!$B$7</f>
        <v/>
      </c>
    </row>
    <row r="769">
      <c r="A769" s="13" t="n">
        <v>39818</v>
      </c>
      <c r="B769" s="14" t="n">
        <v>1.3582</v>
      </c>
      <c r="C769" t="inlineStr">
        <is>
          <t>После</t>
        </is>
      </c>
      <c r="D769" s="15">
        <f>B769/B768-1</f>
        <v/>
      </c>
      <c r="E769" s="16">
        <f>LN(B769/B768)</f>
        <v/>
      </c>
      <c r="F769" s="15">
        <f>_xlfn.STDEV.S(OFFSET(D769,-Описание!$B$12,0,Описание!$B$12,1))</f>
        <v/>
      </c>
      <c r="G769" s="15">
        <f>SQRT(Описание!$B$13*G768^2+(1-Описание!$B$13)*D768^2)</f>
        <v/>
      </c>
      <c r="H769" s="17">
        <f>Описание!$B$9*F769*Описание!$B$7</f>
        <v/>
      </c>
      <c r="I769" s="17">
        <f>Описание!$B$9*G769*Описание!$B$7</f>
        <v/>
      </c>
    </row>
    <row r="770">
      <c r="A770" s="13" t="n">
        <v>39819</v>
      </c>
      <c r="B770" s="14" t="n">
        <v>1.3332</v>
      </c>
      <c r="C770" t="inlineStr">
        <is>
          <t>После</t>
        </is>
      </c>
      <c r="D770" s="15">
        <f>B770/B769-1</f>
        <v/>
      </c>
      <c r="E770" s="16">
        <f>LN(B770/B769)</f>
        <v/>
      </c>
      <c r="F770" s="15">
        <f>_xlfn.STDEV.S(OFFSET(D770,-Описание!$B$12,0,Описание!$B$12,1))</f>
        <v/>
      </c>
      <c r="G770" s="15">
        <f>SQRT(Описание!$B$13*G769^2+(1-Описание!$B$13)*D769^2)</f>
        <v/>
      </c>
      <c r="H770" s="17">
        <f>Описание!$B$9*F770*Описание!$B$7</f>
        <v/>
      </c>
      <c r="I770" s="17">
        <f>Описание!$B$9*G770*Описание!$B$7</f>
        <v/>
      </c>
    </row>
    <row r="771">
      <c r="A771" s="13" t="n">
        <v>39820</v>
      </c>
      <c r="B771" s="14" t="n">
        <v>1.3595</v>
      </c>
      <c r="C771" t="inlineStr">
        <is>
          <t>После</t>
        </is>
      </c>
      <c r="D771" s="15">
        <f>B771/B770-1</f>
        <v/>
      </c>
      <c r="E771" s="16">
        <f>LN(B771/B770)</f>
        <v/>
      </c>
      <c r="F771" s="15">
        <f>_xlfn.STDEV.S(OFFSET(D771,-Описание!$B$12,0,Описание!$B$12,1))</f>
        <v/>
      </c>
      <c r="G771" s="15">
        <f>SQRT(Описание!$B$13*G770^2+(1-Описание!$B$13)*D770^2)</f>
        <v/>
      </c>
      <c r="H771" s="17">
        <f>Описание!$B$9*F771*Описание!$B$7</f>
        <v/>
      </c>
      <c r="I771" s="17">
        <f>Описание!$B$9*G771*Описание!$B$7</f>
        <v/>
      </c>
    </row>
    <row r="772">
      <c r="A772" s="13" t="n">
        <v>39821</v>
      </c>
      <c r="B772" s="14" t="n">
        <v>1.3617</v>
      </c>
      <c r="C772" t="inlineStr">
        <is>
          <t>После</t>
        </is>
      </c>
      <c r="D772" s="15">
        <f>B772/B771-1</f>
        <v/>
      </c>
      <c r="E772" s="16">
        <f>LN(B772/B771)</f>
        <v/>
      </c>
      <c r="F772" s="15">
        <f>_xlfn.STDEV.S(OFFSET(D772,-Описание!$B$12,0,Описание!$B$12,1))</f>
        <v/>
      </c>
      <c r="G772" s="15">
        <f>SQRT(Описание!$B$13*G771^2+(1-Описание!$B$13)*D771^2)</f>
        <v/>
      </c>
      <c r="H772" s="17">
        <f>Описание!$B$9*F772*Описание!$B$7</f>
        <v/>
      </c>
      <c r="I772" s="17">
        <f>Описание!$B$9*G772*Описание!$B$7</f>
        <v/>
      </c>
    </row>
    <row r="773">
      <c r="A773" s="13" t="n">
        <v>39822</v>
      </c>
      <c r="B773" s="14" t="n">
        <v>1.3684</v>
      </c>
      <c r="C773" t="inlineStr">
        <is>
          <t>После</t>
        </is>
      </c>
      <c r="D773" s="15">
        <f>B773/B772-1</f>
        <v/>
      </c>
      <c r="E773" s="16">
        <f>LN(B773/B772)</f>
        <v/>
      </c>
      <c r="F773" s="15">
        <f>_xlfn.STDEV.S(OFFSET(D773,-Описание!$B$12,0,Описание!$B$12,1))</f>
        <v/>
      </c>
      <c r="G773" s="15">
        <f>SQRT(Описание!$B$13*G772^2+(1-Описание!$B$13)*D772^2)</f>
        <v/>
      </c>
      <c r="H773" s="17">
        <f>Описание!$B$9*F773*Описание!$B$7</f>
        <v/>
      </c>
      <c r="I773" s="17">
        <f>Описание!$B$9*G773*Описание!$B$7</f>
        <v/>
      </c>
    </row>
    <row r="774">
      <c r="A774" s="13" t="n">
        <v>39825</v>
      </c>
      <c r="B774" s="14" t="n">
        <v>1.3394</v>
      </c>
      <c r="C774" t="inlineStr">
        <is>
          <t>После</t>
        </is>
      </c>
      <c r="D774" s="15">
        <f>B774/B773-1</f>
        <v/>
      </c>
      <c r="E774" s="16">
        <f>LN(B774/B773)</f>
        <v/>
      </c>
      <c r="F774" s="15">
        <f>_xlfn.STDEV.S(OFFSET(D774,-Описание!$B$12,0,Описание!$B$12,1))</f>
        <v/>
      </c>
      <c r="G774" s="15">
        <f>SQRT(Описание!$B$13*G773^2+(1-Описание!$B$13)*D773^2)</f>
        <v/>
      </c>
      <c r="H774" s="17">
        <f>Описание!$B$9*F774*Описание!$B$7</f>
        <v/>
      </c>
      <c r="I774" s="17">
        <f>Описание!$B$9*G774*Описание!$B$7</f>
        <v/>
      </c>
    </row>
    <row r="775">
      <c r="A775" s="13" t="n">
        <v>39826</v>
      </c>
      <c r="B775" s="14" t="n">
        <v>1.3262</v>
      </c>
      <c r="C775" t="inlineStr">
        <is>
          <t>После</t>
        </is>
      </c>
      <c r="D775" s="15">
        <f>B775/B774-1</f>
        <v/>
      </c>
      <c r="E775" s="16">
        <f>LN(B775/B774)</f>
        <v/>
      </c>
      <c r="F775" s="15">
        <f>_xlfn.STDEV.S(OFFSET(D775,-Описание!$B$12,0,Описание!$B$12,1))</f>
        <v/>
      </c>
      <c r="G775" s="15">
        <f>SQRT(Описание!$B$13*G774^2+(1-Описание!$B$13)*D774^2)</f>
        <v/>
      </c>
      <c r="H775" s="17">
        <f>Описание!$B$9*F775*Описание!$B$7</f>
        <v/>
      </c>
      <c r="I775" s="17">
        <f>Описание!$B$9*G775*Описание!$B$7</f>
        <v/>
      </c>
    </row>
    <row r="776">
      <c r="A776" s="13" t="n">
        <v>39827</v>
      </c>
      <c r="B776" s="14" t="n">
        <v>1.3173</v>
      </c>
      <c r="C776" t="inlineStr">
        <is>
          <t>После</t>
        </is>
      </c>
      <c r="D776" s="15">
        <f>B776/B775-1</f>
        <v/>
      </c>
      <c r="E776" s="16">
        <f>LN(B776/B775)</f>
        <v/>
      </c>
      <c r="F776" s="15">
        <f>_xlfn.STDEV.S(OFFSET(D776,-Описание!$B$12,0,Описание!$B$12,1))</f>
        <v/>
      </c>
      <c r="G776" s="15">
        <f>SQRT(Описание!$B$13*G775^2+(1-Описание!$B$13)*D775^2)</f>
        <v/>
      </c>
      <c r="H776" s="17">
        <f>Описание!$B$9*F776*Описание!$B$7</f>
        <v/>
      </c>
      <c r="I776" s="17">
        <f>Описание!$B$9*G776*Описание!$B$7</f>
        <v/>
      </c>
    </row>
    <row r="777">
      <c r="A777" s="13" t="n">
        <v>39828</v>
      </c>
      <c r="B777" s="14" t="n">
        <v>1.3085</v>
      </c>
      <c r="C777" t="inlineStr">
        <is>
          <t>После</t>
        </is>
      </c>
      <c r="D777" s="15">
        <f>B777/B776-1</f>
        <v/>
      </c>
      <c r="E777" s="16">
        <f>LN(B777/B776)</f>
        <v/>
      </c>
      <c r="F777" s="15">
        <f>_xlfn.STDEV.S(OFFSET(D777,-Описание!$B$12,0,Описание!$B$12,1))</f>
        <v/>
      </c>
      <c r="G777" s="15">
        <f>SQRT(Описание!$B$13*G776^2+(1-Описание!$B$13)*D776^2)</f>
        <v/>
      </c>
      <c r="H777" s="17">
        <f>Описание!$B$9*F777*Описание!$B$7</f>
        <v/>
      </c>
      <c r="I777" s="17">
        <f>Описание!$B$9*G777*Описание!$B$7</f>
        <v/>
      </c>
    </row>
    <row r="778">
      <c r="A778" s="13" t="n">
        <v>39829</v>
      </c>
      <c r="B778" s="14" t="n">
        <v>1.327</v>
      </c>
      <c r="C778" t="inlineStr">
        <is>
          <t>После</t>
        </is>
      </c>
      <c r="D778" s="15">
        <f>B778/B777-1</f>
        <v/>
      </c>
      <c r="E778" s="16">
        <f>LN(B778/B777)</f>
        <v/>
      </c>
      <c r="F778" s="15">
        <f>_xlfn.STDEV.S(OFFSET(D778,-Описание!$B$12,0,Описание!$B$12,1))</f>
        <v/>
      </c>
      <c r="G778" s="15">
        <f>SQRT(Описание!$B$13*G777^2+(1-Описание!$B$13)*D777^2)</f>
        <v/>
      </c>
      <c r="H778" s="17">
        <f>Описание!$B$9*F778*Описание!$B$7</f>
        <v/>
      </c>
      <c r="I778" s="17">
        <f>Описание!$B$9*G778*Описание!$B$7</f>
        <v/>
      </c>
    </row>
    <row r="779">
      <c r="A779" s="13" t="n">
        <v>39832</v>
      </c>
      <c r="B779" s="14" t="n">
        <v>1.3182</v>
      </c>
      <c r="C779" t="inlineStr">
        <is>
          <t>После</t>
        </is>
      </c>
      <c r="D779" s="15">
        <f>B779/B778-1</f>
        <v/>
      </c>
      <c r="E779" s="16">
        <f>LN(B779/B778)</f>
        <v/>
      </c>
      <c r="F779" s="15">
        <f>_xlfn.STDEV.S(OFFSET(D779,-Описание!$B$12,0,Описание!$B$12,1))</f>
        <v/>
      </c>
      <c r="G779" s="15">
        <f>SQRT(Описание!$B$13*G778^2+(1-Описание!$B$13)*D778^2)</f>
        <v/>
      </c>
      <c r="H779" s="17">
        <f>Описание!$B$9*F779*Описание!$B$7</f>
        <v/>
      </c>
      <c r="I779" s="17">
        <f>Описание!$B$9*G779*Описание!$B$7</f>
        <v/>
      </c>
    </row>
    <row r="780">
      <c r="A780" s="13" t="n">
        <v>39833</v>
      </c>
      <c r="B780" s="14" t="n">
        <v>1.293</v>
      </c>
      <c r="C780" t="inlineStr">
        <is>
          <t>После</t>
        </is>
      </c>
      <c r="D780" s="15">
        <f>B780/B779-1</f>
        <v/>
      </c>
      <c r="E780" s="16">
        <f>LN(B780/B779)</f>
        <v/>
      </c>
      <c r="F780" s="15">
        <f>_xlfn.STDEV.S(OFFSET(D780,-Описание!$B$12,0,Описание!$B$12,1))</f>
        <v/>
      </c>
      <c r="G780" s="15">
        <f>SQRT(Описание!$B$13*G779^2+(1-Описание!$B$13)*D779^2)</f>
        <v/>
      </c>
      <c r="H780" s="17">
        <f>Описание!$B$9*F780*Описание!$B$7</f>
        <v/>
      </c>
      <c r="I780" s="17">
        <f>Описание!$B$9*G780*Описание!$B$7</f>
        <v/>
      </c>
    </row>
    <row r="781">
      <c r="A781" s="13" t="n">
        <v>39834</v>
      </c>
      <c r="B781" s="14" t="n">
        <v>1.291</v>
      </c>
      <c r="C781" t="inlineStr">
        <is>
          <t>После</t>
        </is>
      </c>
      <c r="D781" s="15">
        <f>B781/B780-1</f>
        <v/>
      </c>
      <c r="E781" s="16">
        <f>LN(B781/B780)</f>
        <v/>
      </c>
      <c r="F781" s="15">
        <f>_xlfn.STDEV.S(OFFSET(D781,-Описание!$B$12,0,Описание!$B$12,1))</f>
        <v/>
      </c>
      <c r="G781" s="15">
        <f>SQRT(Описание!$B$13*G780^2+(1-Описание!$B$13)*D780^2)</f>
        <v/>
      </c>
      <c r="H781" s="17">
        <f>Описание!$B$9*F781*Описание!$B$7</f>
        <v/>
      </c>
      <c r="I781" s="17">
        <f>Описание!$B$9*G781*Описание!$B$7</f>
        <v/>
      </c>
    </row>
    <row r="782">
      <c r="A782" s="13" t="n">
        <v>39835</v>
      </c>
      <c r="B782" s="14" t="n">
        <v>1.2984</v>
      </c>
      <c r="C782" t="inlineStr">
        <is>
          <t>После</t>
        </is>
      </c>
      <c r="D782" s="15">
        <f>B782/B781-1</f>
        <v/>
      </c>
      <c r="E782" s="16">
        <f>LN(B782/B781)</f>
        <v/>
      </c>
      <c r="F782" s="15">
        <f>_xlfn.STDEV.S(OFFSET(D782,-Описание!$B$12,0,Описание!$B$12,1))</f>
        <v/>
      </c>
      <c r="G782" s="15">
        <f>SQRT(Описание!$B$13*G781^2+(1-Описание!$B$13)*D781^2)</f>
        <v/>
      </c>
      <c r="H782" s="17">
        <f>Описание!$B$9*F782*Описание!$B$7</f>
        <v/>
      </c>
      <c r="I782" s="17">
        <f>Описание!$B$9*G782*Описание!$B$7</f>
        <v/>
      </c>
    </row>
    <row r="783">
      <c r="A783" s="13" t="n">
        <v>39836</v>
      </c>
      <c r="B783" s="14" t="n">
        <v>1.2795</v>
      </c>
      <c r="C783" t="inlineStr">
        <is>
          <t>После</t>
        </is>
      </c>
      <c r="D783" s="15">
        <f>B783/B782-1</f>
        <v/>
      </c>
      <c r="E783" s="16">
        <f>LN(B783/B782)</f>
        <v/>
      </c>
      <c r="F783" s="15">
        <f>_xlfn.STDEV.S(OFFSET(D783,-Описание!$B$12,0,Описание!$B$12,1))</f>
        <v/>
      </c>
      <c r="G783" s="15">
        <f>SQRT(Описание!$B$13*G782^2+(1-Описание!$B$13)*D782^2)</f>
        <v/>
      </c>
      <c r="H783" s="17">
        <f>Описание!$B$9*F783*Описание!$B$7</f>
        <v/>
      </c>
      <c r="I783" s="17">
        <f>Описание!$B$9*G783*Описание!$B$7</f>
        <v/>
      </c>
    </row>
    <row r="784">
      <c r="A784" s="13" t="n">
        <v>39839</v>
      </c>
      <c r="B784" s="14" t="n">
        <v>1.299</v>
      </c>
      <c r="C784" t="inlineStr">
        <is>
          <t>После</t>
        </is>
      </c>
      <c r="D784" s="15">
        <f>B784/B783-1</f>
        <v/>
      </c>
      <c r="E784" s="16">
        <f>LN(B784/B783)</f>
        <v/>
      </c>
      <c r="F784" s="15">
        <f>_xlfn.STDEV.S(OFFSET(D784,-Описание!$B$12,0,Описание!$B$12,1))</f>
        <v/>
      </c>
      <c r="G784" s="15">
        <f>SQRT(Описание!$B$13*G783^2+(1-Описание!$B$13)*D783^2)</f>
        <v/>
      </c>
      <c r="H784" s="17">
        <f>Описание!$B$9*F784*Описание!$B$7</f>
        <v/>
      </c>
      <c r="I784" s="17">
        <f>Описание!$B$9*G784*Описание!$B$7</f>
        <v/>
      </c>
    </row>
    <row r="785">
      <c r="A785" s="13" t="n">
        <v>39840</v>
      </c>
      <c r="B785" s="14" t="n">
        <v>1.3174</v>
      </c>
      <c r="C785" t="inlineStr">
        <is>
          <t>После</t>
        </is>
      </c>
      <c r="D785" s="15">
        <f>B785/B784-1</f>
        <v/>
      </c>
      <c r="E785" s="16">
        <f>LN(B785/B784)</f>
        <v/>
      </c>
      <c r="F785" s="15">
        <f>_xlfn.STDEV.S(OFFSET(D785,-Описание!$B$12,0,Описание!$B$12,1))</f>
        <v/>
      </c>
      <c r="G785" s="15">
        <f>SQRT(Описание!$B$13*G784^2+(1-Описание!$B$13)*D784^2)</f>
        <v/>
      </c>
      <c r="H785" s="17">
        <f>Описание!$B$9*F785*Описание!$B$7</f>
        <v/>
      </c>
      <c r="I785" s="17">
        <f>Описание!$B$9*G785*Описание!$B$7</f>
        <v/>
      </c>
    </row>
    <row r="786">
      <c r="A786" s="13" t="n">
        <v>39841</v>
      </c>
      <c r="B786" s="14" t="n">
        <v>1.326</v>
      </c>
      <c r="C786" t="inlineStr">
        <is>
          <t>После</t>
        </is>
      </c>
      <c r="D786" s="15">
        <f>B786/B785-1</f>
        <v/>
      </c>
      <c r="E786" s="16">
        <f>LN(B786/B785)</f>
        <v/>
      </c>
      <c r="F786" s="15">
        <f>_xlfn.STDEV.S(OFFSET(D786,-Описание!$B$12,0,Описание!$B$12,1))</f>
        <v/>
      </c>
      <c r="G786" s="15">
        <f>SQRT(Описание!$B$13*G785^2+(1-Описание!$B$13)*D785^2)</f>
        <v/>
      </c>
      <c r="H786" s="17">
        <f>Описание!$B$9*F786*Описание!$B$7</f>
        <v/>
      </c>
      <c r="I786" s="17">
        <f>Описание!$B$9*G786*Описание!$B$7</f>
        <v/>
      </c>
    </row>
    <row r="787">
      <c r="A787" s="13" t="n">
        <v>39842</v>
      </c>
      <c r="B787" s="14" t="n">
        <v>1.3111</v>
      </c>
      <c r="C787" t="inlineStr">
        <is>
          <t>После</t>
        </is>
      </c>
      <c r="D787" s="15">
        <f>B787/B786-1</f>
        <v/>
      </c>
      <c r="E787" s="16">
        <f>LN(B787/B786)</f>
        <v/>
      </c>
      <c r="F787" s="15">
        <f>_xlfn.STDEV.S(OFFSET(D787,-Описание!$B$12,0,Описание!$B$12,1))</f>
        <v/>
      </c>
      <c r="G787" s="15">
        <f>SQRT(Описание!$B$13*G786^2+(1-Описание!$B$13)*D786^2)</f>
        <v/>
      </c>
      <c r="H787" s="17">
        <f>Описание!$B$9*F787*Описание!$B$7</f>
        <v/>
      </c>
      <c r="I787" s="17">
        <f>Описание!$B$9*G787*Описание!$B$7</f>
        <v/>
      </c>
    </row>
    <row r="788">
      <c r="A788" s="13" t="n">
        <v>39843</v>
      </c>
      <c r="B788" s="14" t="n">
        <v>1.2816</v>
      </c>
      <c r="C788" t="inlineStr">
        <is>
          <t>После</t>
        </is>
      </c>
      <c r="D788" s="15">
        <f>B788/B787-1</f>
        <v/>
      </c>
      <c r="E788" s="16">
        <f>LN(B788/B787)</f>
        <v/>
      </c>
      <c r="F788" s="15">
        <f>_xlfn.STDEV.S(OFFSET(D788,-Описание!$B$12,0,Описание!$B$12,1))</f>
        <v/>
      </c>
      <c r="G788" s="15">
        <f>SQRT(Описание!$B$13*G787^2+(1-Описание!$B$13)*D787^2)</f>
        <v/>
      </c>
      <c r="H788" s="17">
        <f>Описание!$B$9*F788*Описание!$B$7</f>
        <v/>
      </c>
      <c r="I788" s="17">
        <f>Описание!$B$9*G788*Описание!$B$7</f>
        <v/>
      </c>
    </row>
    <row r="789">
      <c r="A789" s="13" t="n">
        <v>39846</v>
      </c>
      <c r="B789" s="14" t="n">
        <v>1.276</v>
      </c>
      <c r="C789" t="inlineStr">
        <is>
          <t>После</t>
        </is>
      </c>
      <c r="D789" s="15">
        <f>B789/B788-1</f>
        <v/>
      </c>
      <c r="E789" s="16">
        <f>LN(B789/B788)</f>
        <v/>
      </c>
      <c r="F789" s="15">
        <f>_xlfn.STDEV.S(OFFSET(D789,-Описание!$B$12,0,Описание!$B$12,1))</f>
        <v/>
      </c>
      <c r="G789" s="15">
        <f>SQRT(Описание!$B$13*G788^2+(1-Описание!$B$13)*D788^2)</f>
        <v/>
      </c>
      <c r="H789" s="17">
        <f>Описание!$B$9*F789*Описание!$B$7</f>
        <v/>
      </c>
      <c r="I789" s="17">
        <f>Описание!$B$9*G789*Описание!$B$7</f>
        <v/>
      </c>
    </row>
    <row r="790">
      <c r="A790" s="13" t="n">
        <v>39847</v>
      </c>
      <c r="B790" s="14" t="n">
        <v>1.2849</v>
      </c>
      <c r="C790" t="inlineStr">
        <is>
          <t>После</t>
        </is>
      </c>
      <c r="D790" s="15">
        <f>B790/B789-1</f>
        <v/>
      </c>
      <c r="E790" s="16">
        <f>LN(B790/B789)</f>
        <v/>
      </c>
      <c r="F790" s="15">
        <f>_xlfn.STDEV.S(OFFSET(D790,-Описание!$B$12,0,Описание!$B$12,1))</f>
        <v/>
      </c>
      <c r="G790" s="15">
        <f>SQRT(Описание!$B$13*G789^2+(1-Описание!$B$13)*D789^2)</f>
        <v/>
      </c>
      <c r="H790" s="17">
        <f>Описание!$B$9*F790*Описание!$B$7</f>
        <v/>
      </c>
      <c r="I790" s="17">
        <f>Описание!$B$9*G790*Описание!$B$7</f>
        <v/>
      </c>
    </row>
    <row r="791">
      <c r="A791" s="13" t="n">
        <v>39848</v>
      </c>
      <c r="B791" s="14" t="n">
        <v>1.2818</v>
      </c>
      <c r="C791" t="inlineStr">
        <is>
          <t>После</t>
        </is>
      </c>
      <c r="D791" s="15">
        <f>B791/B790-1</f>
        <v/>
      </c>
      <c r="E791" s="16">
        <f>LN(B791/B790)</f>
        <v/>
      </c>
      <c r="F791" s="15">
        <f>_xlfn.STDEV.S(OFFSET(D791,-Описание!$B$12,0,Описание!$B$12,1))</f>
        <v/>
      </c>
      <c r="G791" s="15">
        <f>SQRT(Описание!$B$13*G790^2+(1-Описание!$B$13)*D790^2)</f>
        <v/>
      </c>
      <c r="H791" s="17">
        <f>Описание!$B$9*F791*Описание!$B$7</f>
        <v/>
      </c>
      <c r="I791" s="17">
        <f>Описание!$B$9*G791*Описание!$B$7</f>
        <v/>
      </c>
    </row>
    <row r="792">
      <c r="A792" s="13" t="n">
        <v>39849</v>
      </c>
      <c r="B792" s="14" t="n">
        <v>1.2829</v>
      </c>
      <c r="C792" t="inlineStr">
        <is>
          <t>После</t>
        </is>
      </c>
      <c r="D792" s="15">
        <f>B792/B791-1</f>
        <v/>
      </c>
      <c r="E792" s="16">
        <f>LN(B792/B791)</f>
        <v/>
      </c>
      <c r="F792" s="15">
        <f>_xlfn.STDEV.S(OFFSET(D792,-Описание!$B$12,0,Описание!$B$12,1))</f>
        <v/>
      </c>
      <c r="G792" s="15">
        <f>SQRT(Описание!$B$13*G791^2+(1-Описание!$B$13)*D791^2)</f>
        <v/>
      </c>
      <c r="H792" s="17">
        <f>Описание!$B$9*F792*Описание!$B$7</f>
        <v/>
      </c>
      <c r="I792" s="17">
        <f>Описание!$B$9*G792*Описание!$B$7</f>
        <v/>
      </c>
    </row>
    <row r="793">
      <c r="A793" s="13" t="n">
        <v>39850</v>
      </c>
      <c r="B793" s="14" t="n">
        <v>1.2796</v>
      </c>
      <c r="C793" t="inlineStr">
        <is>
          <t>После</t>
        </is>
      </c>
      <c r="D793" s="15">
        <f>B793/B792-1</f>
        <v/>
      </c>
      <c r="E793" s="16">
        <f>LN(B793/B792)</f>
        <v/>
      </c>
      <c r="F793" s="15">
        <f>_xlfn.STDEV.S(OFFSET(D793,-Описание!$B$12,0,Описание!$B$12,1))</f>
        <v/>
      </c>
      <c r="G793" s="15">
        <f>SQRT(Описание!$B$13*G792^2+(1-Описание!$B$13)*D792^2)</f>
        <v/>
      </c>
      <c r="H793" s="17">
        <f>Описание!$B$9*F793*Описание!$B$7</f>
        <v/>
      </c>
      <c r="I793" s="17">
        <f>Описание!$B$9*G793*Описание!$B$7</f>
        <v/>
      </c>
    </row>
    <row r="794">
      <c r="A794" s="13" t="n">
        <v>39853</v>
      </c>
      <c r="B794" s="14" t="n">
        <v>1.3008</v>
      </c>
      <c r="C794" t="inlineStr">
        <is>
          <t>После</t>
        </is>
      </c>
      <c r="D794" s="15">
        <f>B794/B793-1</f>
        <v/>
      </c>
      <c r="E794" s="16">
        <f>LN(B794/B793)</f>
        <v/>
      </c>
      <c r="F794" s="15">
        <f>_xlfn.STDEV.S(OFFSET(D794,-Описание!$B$12,0,Описание!$B$12,1))</f>
        <v/>
      </c>
      <c r="G794" s="15">
        <f>SQRT(Описание!$B$13*G793^2+(1-Описание!$B$13)*D793^2)</f>
        <v/>
      </c>
      <c r="H794" s="17">
        <f>Описание!$B$9*F794*Описание!$B$7</f>
        <v/>
      </c>
      <c r="I794" s="17">
        <f>Описание!$B$9*G794*Описание!$B$7</f>
        <v/>
      </c>
    </row>
    <row r="795">
      <c r="A795" s="13" t="n">
        <v>39854</v>
      </c>
      <c r="B795" s="14" t="n">
        <v>1.2967</v>
      </c>
      <c r="C795" t="inlineStr">
        <is>
          <t>После</t>
        </is>
      </c>
      <c r="D795" s="15">
        <f>B795/B794-1</f>
        <v/>
      </c>
      <c r="E795" s="16">
        <f>LN(B795/B794)</f>
        <v/>
      </c>
      <c r="F795" s="15">
        <f>_xlfn.STDEV.S(OFFSET(D795,-Описание!$B$12,0,Описание!$B$12,1))</f>
        <v/>
      </c>
      <c r="G795" s="15">
        <f>SQRT(Описание!$B$13*G794^2+(1-Описание!$B$13)*D794^2)</f>
        <v/>
      </c>
      <c r="H795" s="17">
        <f>Описание!$B$9*F795*Описание!$B$7</f>
        <v/>
      </c>
      <c r="I795" s="17">
        <f>Описание!$B$9*G795*Описание!$B$7</f>
        <v/>
      </c>
    </row>
    <row r="796">
      <c r="A796" s="13" t="n">
        <v>39855</v>
      </c>
      <c r="B796" s="14" t="n">
        <v>1.2938</v>
      </c>
      <c r="C796" t="inlineStr">
        <is>
          <t>После</t>
        </is>
      </c>
      <c r="D796" s="15">
        <f>B796/B795-1</f>
        <v/>
      </c>
      <c r="E796" s="16">
        <f>LN(B796/B795)</f>
        <v/>
      </c>
      <c r="F796" s="15">
        <f>_xlfn.STDEV.S(OFFSET(D796,-Описание!$B$12,0,Описание!$B$12,1))</f>
        <v/>
      </c>
      <c r="G796" s="15">
        <f>SQRT(Описание!$B$13*G795^2+(1-Описание!$B$13)*D795^2)</f>
        <v/>
      </c>
      <c r="H796" s="17">
        <f>Описание!$B$9*F796*Описание!$B$7</f>
        <v/>
      </c>
      <c r="I796" s="17">
        <f>Описание!$B$9*G796*Описание!$B$7</f>
        <v/>
      </c>
    </row>
    <row r="797">
      <c r="A797" s="13" t="n">
        <v>39856</v>
      </c>
      <c r="B797" s="14" t="n">
        <v>1.2833</v>
      </c>
      <c r="C797" t="inlineStr">
        <is>
          <t>После</t>
        </is>
      </c>
      <c r="D797" s="15">
        <f>B797/B796-1</f>
        <v/>
      </c>
      <c r="E797" s="16">
        <f>LN(B797/B796)</f>
        <v/>
      </c>
      <c r="F797" s="15">
        <f>_xlfn.STDEV.S(OFFSET(D797,-Описание!$B$12,0,Описание!$B$12,1))</f>
        <v/>
      </c>
      <c r="G797" s="15">
        <f>SQRT(Описание!$B$13*G796^2+(1-Описание!$B$13)*D796^2)</f>
        <v/>
      </c>
      <c r="H797" s="17">
        <f>Описание!$B$9*F797*Описание!$B$7</f>
        <v/>
      </c>
      <c r="I797" s="17">
        <f>Описание!$B$9*G797*Описание!$B$7</f>
        <v/>
      </c>
    </row>
    <row r="798">
      <c r="A798" s="13" t="n">
        <v>39857</v>
      </c>
      <c r="B798" s="14" t="n">
        <v>1.2823</v>
      </c>
      <c r="C798" t="inlineStr">
        <is>
          <t>После</t>
        </is>
      </c>
      <c r="D798" s="15">
        <f>B798/B797-1</f>
        <v/>
      </c>
      <c r="E798" s="16">
        <f>LN(B798/B797)</f>
        <v/>
      </c>
      <c r="F798" s="15">
        <f>_xlfn.STDEV.S(OFFSET(D798,-Описание!$B$12,0,Описание!$B$12,1))</f>
        <v/>
      </c>
      <c r="G798" s="15">
        <f>SQRT(Описание!$B$13*G797^2+(1-Описание!$B$13)*D797^2)</f>
        <v/>
      </c>
      <c r="H798" s="17">
        <f>Описание!$B$9*F798*Описание!$B$7</f>
        <v/>
      </c>
      <c r="I798" s="17">
        <f>Описание!$B$9*G798*Описание!$B$7</f>
        <v/>
      </c>
    </row>
    <row r="799">
      <c r="A799" s="13" t="n">
        <v>39860</v>
      </c>
      <c r="B799" s="14" t="n">
        <v>1.2765</v>
      </c>
      <c r="C799" t="inlineStr">
        <is>
          <t>После</t>
        </is>
      </c>
      <c r="D799" s="15">
        <f>B799/B798-1</f>
        <v/>
      </c>
      <c r="E799" s="16">
        <f>LN(B799/B798)</f>
        <v/>
      </c>
      <c r="F799" s="15">
        <f>_xlfn.STDEV.S(OFFSET(D799,-Описание!$B$12,0,Описание!$B$12,1))</f>
        <v/>
      </c>
      <c r="G799" s="15">
        <f>SQRT(Описание!$B$13*G798^2+(1-Описание!$B$13)*D798^2)</f>
        <v/>
      </c>
      <c r="H799" s="17">
        <f>Описание!$B$9*F799*Описание!$B$7</f>
        <v/>
      </c>
      <c r="I799" s="17">
        <f>Описание!$B$9*G799*Описание!$B$7</f>
        <v/>
      </c>
    </row>
    <row r="800">
      <c r="A800" s="13" t="n">
        <v>39861</v>
      </c>
      <c r="B800" s="14" t="n">
        <v>1.2634</v>
      </c>
      <c r="C800" t="inlineStr">
        <is>
          <t>После</t>
        </is>
      </c>
      <c r="D800" s="15">
        <f>B800/B799-1</f>
        <v/>
      </c>
      <c r="E800" s="16">
        <f>LN(B800/B799)</f>
        <v/>
      </c>
      <c r="F800" s="15">
        <f>_xlfn.STDEV.S(OFFSET(D800,-Описание!$B$12,0,Описание!$B$12,1))</f>
        <v/>
      </c>
      <c r="G800" s="15">
        <f>SQRT(Описание!$B$13*G799^2+(1-Описание!$B$13)*D799^2)</f>
        <v/>
      </c>
      <c r="H800" s="17">
        <f>Описание!$B$9*F800*Описание!$B$7</f>
        <v/>
      </c>
      <c r="I800" s="17">
        <f>Описание!$B$9*G800*Описание!$B$7</f>
        <v/>
      </c>
    </row>
    <row r="801">
      <c r="A801" s="13" t="n">
        <v>39862</v>
      </c>
      <c r="B801" s="14" t="n">
        <v>1.2596</v>
      </c>
      <c r="C801" t="inlineStr">
        <is>
          <t>После</t>
        </is>
      </c>
      <c r="D801" s="15">
        <f>B801/B800-1</f>
        <v/>
      </c>
      <c r="E801" s="16">
        <f>LN(B801/B800)</f>
        <v/>
      </c>
      <c r="F801" s="15">
        <f>_xlfn.STDEV.S(OFFSET(D801,-Описание!$B$12,0,Описание!$B$12,1))</f>
        <v/>
      </c>
      <c r="G801" s="15">
        <f>SQRT(Описание!$B$13*G800^2+(1-Описание!$B$13)*D800^2)</f>
        <v/>
      </c>
      <c r="H801" s="17">
        <f>Описание!$B$9*F801*Описание!$B$7</f>
        <v/>
      </c>
      <c r="I801" s="17">
        <f>Описание!$B$9*G801*Описание!$B$7</f>
        <v/>
      </c>
    </row>
    <row r="802">
      <c r="A802" s="13" t="n">
        <v>39863</v>
      </c>
      <c r="B802" s="14" t="n">
        <v>1.2705</v>
      </c>
      <c r="C802" t="inlineStr">
        <is>
          <t>После</t>
        </is>
      </c>
      <c r="D802" s="15">
        <f>B802/B801-1</f>
        <v/>
      </c>
      <c r="E802" s="16">
        <f>LN(B802/B801)</f>
        <v/>
      </c>
      <c r="F802" s="15">
        <f>_xlfn.STDEV.S(OFFSET(D802,-Описание!$B$12,0,Описание!$B$12,1))</f>
        <v/>
      </c>
      <c r="G802" s="15">
        <f>SQRT(Описание!$B$13*G801^2+(1-Описание!$B$13)*D801^2)</f>
        <v/>
      </c>
      <c r="H802" s="17">
        <f>Описание!$B$9*F802*Описание!$B$7</f>
        <v/>
      </c>
      <c r="I802" s="17">
        <f>Описание!$B$9*G802*Описание!$B$7</f>
        <v/>
      </c>
    </row>
    <row r="803">
      <c r="A803" s="13" t="n">
        <v>39864</v>
      </c>
      <c r="B803" s="14" t="n">
        <v>1.2591</v>
      </c>
      <c r="C803" t="inlineStr">
        <is>
          <t>После</t>
        </is>
      </c>
      <c r="D803" s="15">
        <f>B803/B802-1</f>
        <v/>
      </c>
      <c r="E803" s="16">
        <f>LN(B803/B802)</f>
        <v/>
      </c>
      <c r="F803" s="15">
        <f>_xlfn.STDEV.S(OFFSET(D803,-Описание!$B$12,0,Описание!$B$12,1))</f>
        <v/>
      </c>
      <c r="G803" s="15">
        <f>SQRT(Описание!$B$13*G802^2+(1-Описание!$B$13)*D802^2)</f>
        <v/>
      </c>
      <c r="H803" s="17">
        <f>Описание!$B$9*F803*Описание!$B$7</f>
        <v/>
      </c>
      <c r="I803" s="17">
        <f>Описание!$B$9*G803*Описание!$B$7</f>
        <v/>
      </c>
    </row>
    <row r="804">
      <c r="A804" s="13" t="n">
        <v>39867</v>
      </c>
      <c r="B804" s="14" t="n">
        <v>1.2798</v>
      </c>
      <c r="C804" t="inlineStr">
        <is>
          <t>После</t>
        </is>
      </c>
      <c r="D804" s="15">
        <f>B804/B803-1</f>
        <v/>
      </c>
      <c r="E804" s="16">
        <f>LN(B804/B803)</f>
        <v/>
      </c>
      <c r="F804" s="15">
        <f>_xlfn.STDEV.S(OFFSET(D804,-Описание!$B$12,0,Описание!$B$12,1))</f>
        <v/>
      </c>
      <c r="G804" s="15">
        <f>SQRT(Описание!$B$13*G803^2+(1-Описание!$B$13)*D803^2)</f>
        <v/>
      </c>
      <c r="H804" s="17">
        <f>Описание!$B$9*F804*Описание!$B$7</f>
        <v/>
      </c>
      <c r="I804" s="17">
        <f>Описание!$B$9*G804*Описание!$B$7</f>
        <v/>
      </c>
    </row>
    <row r="805">
      <c r="A805" s="13" t="n">
        <v>39868</v>
      </c>
      <c r="B805" s="14" t="n">
        <v>1.2763</v>
      </c>
      <c r="C805" t="inlineStr">
        <is>
          <t>После</t>
        </is>
      </c>
      <c r="D805" s="15">
        <f>B805/B804-1</f>
        <v/>
      </c>
      <c r="E805" s="16">
        <f>LN(B805/B804)</f>
        <v/>
      </c>
      <c r="F805" s="15">
        <f>_xlfn.STDEV.S(OFFSET(D805,-Описание!$B$12,0,Описание!$B$12,1))</f>
        <v/>
      </c>
      <c r="G805" s="15">
        <f>SQRT(Описание!$B$13*G804^2+(1-Описание!$B$13)*D804^2)</f>
        <v/>
      </c>
      <c r="H805" s="17">
        <f>Описание!$B$9*F805*Описание!$B$7</f>
        <v/>
      </c>
      <c r="I805" s="17">
        <f>Описание!$B$9*G805*Описание!$B$7</f>
        <v/>
      </c>
    </row>
    <row r="806">
      <c r="A806" s="13" t="n">
        <v>39869</v>
      </c>
      <c r="B806" s="14" t="n">
        <v>1.2795</v>
      </c>
      <c r="C806" t="inlineStr">
        <is>
          <t>После</t>
        </is>
      </c>
      <c r="D806" s="15">
        <f>B806/B805-1</f>
        <v/>
      </c>
      <c r="E806" s="16">
        <f>LN(B806/B805)</f>
        <v/>
      </c>
      <c r="F806" s="15">
        <f>_xlfn.STDEV.S(OFFSET(D806,-Описание!$B$12,0,Описание!$B$12,1))</f>
        <v/>
      </c>
      <c r="G806" s="15">
        <f>SQRT(Описание!$B$13*G805^2+(1-Описание!$B$13)*D805^2)</f>
        <v/>
      </c>
      <c r="H806" s="17">
        <f>Описание!$B$9*F806*Описание!$B$7</f>
        <v/>
      </c>
      <c r="I806" s="17">
        <f>Описание!$B$9*G806*Описание!$B$7</f>
        <v/>
      </c>
    </row>
    <row r="807">
      <c r="A807" s="13" t="n">
        <v>39870</v>
      </c>
      <c r="B807" s="14" t="n">
        <v>1.2782</v>
      </c>
      <c r="C807" t="inlineStr">
        <is>
          <t>После</t>
        </is>
      </c>
      <c r="D807" s="15">
        <f>B807/B806-1</f>
        <v/>
      </c>
      <c r="E807" s="16">
        <f>LN(B807/B806)</f>
        <v/>
      </c>
      <c r="F807" s="15">
        <f>_xlfn.STDEV.S(OFFSET(D807,-Описание!$B$12,0,Описание!$B$12,1))</f>
        <v/>
      </c>
      <c r="G807" s="15">
        <f>SQRT(Описание!$B$13*G806^2+(1-Описание!$B$13)*D806^2)</f>
        <v/>
      </c>
      <c r="H807" s="17">
        <f>Описание!$B$9*F807*Описание!$B$7</f>
        <v/>
      </c>
      <c r="I807" s="17">
        <f>Описание!$B$9*G807*Описание!$B$7</f>
        <v/>
      </c>
    </row>
    <row r="808">
      <c r="A808" s="13" t="n">
        <v>39871</v>
      </c>
      <c r="B808" s="14" t="n">
        <v>1.2644</v>
      </c>
      <c r="C808" t="inlineStr">
        <is>
          <t>После</t>
        </is>
      </c>
      <c r="D808" s="15">
        <f>B808/B807-1</f>
        <v/>
      </c>
      <c r="E808" s="16">
        <f>LN(B808/B807)</f>
        <v/>
      </c>
      <c r="F808" s="15">
        <f>_xlfn.STDEV.S(OFFSET(D808,-Описание!$B$12,0,Описание!$B$12,1))</f>
        <v/>
      </c>
      <c r="G808" s="15">
        <f>SQRT(Описание!$B$13*G807^2+(1-Описание!$B$13)*D807^2)</f>
        <v/>
      </c>
      <c r="H808" s="17">
        <f>Описание!$B$9*F808*Описание!$B$7</f>
        <v/>
      </c>
      <c r="I808" s="17">
        <f>Описание!$B$9*G808*Описание!$B$7</f>
        <v/>
      </c>
    </row>
    <row r="809">
      <c r="A809" s="13" t="n">
        <v>39874</v>
      </c>
      <c r="B809" s="14" t="n">
        <v>1.2596</v>
      </c>
      <c r="C809" t="inlineStr">
        <is>
          <t>После</t>
        </is>
      </c>
      <c r="D809" s="15">
        <f>B809/B808-1</f>
        <v/>
      </c>
      <c r="E809" s="16">
        <f>LN(B809/B808)</f>
        <v/>
      </c>
      <c r="F809" s="15">
        <f>_xlfn.STDEV.S(OFFSET(D809,-Описание!$B$12,0,Описание!$B$12,1))</f>
        <v/>
      </c>
      <c r="G809" s="15">
        <f>SQRT(Описание!$B$13*G808^2+(1-Описание!$B$13)*D808^2)</f>
        <v/>
      </c>
      <c r="H809" s="17">
        <f>Описание!$B$9*F809*Описание!$B$7</f>
        <v/>
      </c>
      <c r="I809" s="17">
        <f>Описание!$B$9*G809*Описание!$B$7</f>
        <v/>
      </c>
    </row>
    <row r="810">
      <c r="A810" s="13" t="n">
        <v>39875</v>
      </c>
      <c r="B810" s="14" t="n">
        <v>1.2615</v>
      </c>
      <c r="C810" t="inlineStr">
        <is>
          <t>После</t>
        </is>
      </c>
      <c r="D810" s="15">
        <f>B810/B809-1</f>
        <v/>
      </c>
      <c r="E810" s="16">
        <f>LN(B810/B809)</f>
        <v/>
      </c>
      <c r="F810" s="15">
        <f>_xlfn.STDEV.S(OFFSET(D810,-Описание!$B$12,0,Описание!$B$12,1))</f>
        <v/>
      </c>
      <c r="G810" s="15">
        <f>SQRT(Описание!$B$13*G809^2+(1-Описание!$B$13)*D809^2)</f>
        <v/>
      </c>
      <c r="H810" s="17">
        <f>Описание!$B$9*F810*Описание!$B$7</f>
        <v/>
      </c>
      <c r="I810" s="17">
        <f>Описание!$B$9*G810*Описание!$B$7</f>
        <v/>
      </c>
    </row>
    <row r="811">
      <c r="A811" s="13" t="n">
        <v>39876</v>
      </c>
      <c r="B811" s="14" t="n">
        <v>1.2555</v>
      </c>
      <c r="C811" t="inlineStr">
        <is>
          <t>После</t>
        </is>
      </c>
      <c r="D811" s="15">
        <f>B811/B810-1</f>
        <v/>
      </c>
      <c r="E811" s="16">
        <f>LN(B811/B810)</f>
        <v/>
      </c>
      <c r="F811" s="15">
        <f>_xlfn.STDEV.S(OFFSET(D811,-Описание!$B$12,0,Описание!$B$12,1))</f>
        <v/>
      </c>
      <c r="G811" s="15">
        <f>SQRT(Описание!$B$13*G810^2+(1-Описание!$B$13)*D810^2)</f>
        <v/>
      </c>
      <c r="H811" s="17">
        <f>Описание!$B$9*F811*Описание!$B$7</f>
        <v/>
      </c>
      <c r="I811" s="17">
        <f>Описание!$B$9*G811*Описание!$B$7</f>
        <v/>
      </c>
    </row>
    <row r="812">
      <c r="A812" s="13" t="n">
        <v>39877</v>
      </c>
      <c r="B812" s="14" t="n">
        <v>1.2555</v>
      </c>
      <c r="C812" t="inlineStr">
        <is>
          <t>После</t>
        </is>
      </c>
      <c r="D812" s="15">
        <f>B812/B811-1</f>
        <v/>
      </c>
      <c r="E812" s="16">
        <f>LN(B812/B811)</f>
        <v/>
      </c>
      <c r="F812" s="15">
        <f>_xlfn.STDEV.S(OFFSET(D812,-Описание!$B$12,0,Описание!$B$12,1))</f>
        <v/>
      </c>
      <c r="G812" s="15">
        <f>SQRT(Описание!$B$13*G811^2+(1-Описание!$B$13)*D811^2)</f>
        <v/>
      </c>
      <c r="H812" s="17">
        <f>Описание!$B$9*F812*Описание!$B$7</f>
        <v/>
      </c>
      <c r="I812" s="17">
        <f>Описание!$B$9*G812*Описание!$B$7</f>
        <v/>
      </c>
    </row>
    <row r="813">
      <c r="A813" s="13" t="n">
        <v>39878</v>
      </c>
      <c r="B813" s="14" t="n">
        <v>1.2658</v>
      </c>
      <c r="C813" t="inlineStr">
        <is>
          <t>После</t>
        </is>
      </c>
      <c r="D813" s="15">
        <f>B813/B812-1</f>
        <v/>
      </c>
      <c r="E813" s="16">
        <f>LN(B813/B812)</f>
        <v/>
      </c>
      <c r="F813" s="15">
        <f>_xlfn.STDEV.S(OFFSET(D813,-Описание!$B$12,0,Описание!$B$12,1))</f>
        <v/>
      </c>
      <c r="G813" s="15">
        <f>SQRT(Описание!$B$13*G812^2+(1-Описание!$B$13)*D812^2)</f>
        <v/>
      </c>
      <c r="H813" s="17">
        <f>Описание!$B$9*F813*Описание!$B$7</f>
        <v/>
      </c>
      <c r="I813" s="17">
        <f>Описание!$B$9*G813*Описание!$B$7</f>
        <v/>
      </c>
    </row>
    <row r="814">
      <c r="A814" s="13" t="n">
        <v>39881</v>
      </c>
      <c r="B814" s="14" t="n">
        <v>1.2565</v>
      </c>
      <c r="C814" t="inlineStr">
        <is>
          <t>После</t>
        </is>
      </c>
      <c r="D814" s="15">
        <f>B814/B813-1</f>
        <v/>
      </c>
      <c r="E814" s="16">
        <f>LN(B814/B813)</f>
        <v/>
      </c>
      <c r="F814" s="15">
        <f>_xlfn.STDEV.S(OFFSET(D814,-Описание!$B$12,0,Описание!$B$12,1))</f>
        <v/>
      </c>
      <c r="G814" s="15">
        <f>SQRT(Описание!$B$13*G813^2+(1-Описание!$B$13)*D813^2)</f>
        <v/>
      </c>
      <c r="H814" s="17">
        <f>Описание!$B$9*F814*Описание!$B$7</f>
        <v/>
      </c>
      <c r="I814" s="17">
        <f>Описание!$B$9*G814*Описание!$B$7</f>
        <v/>
      </c>
    </row>
    <row r="815">
      <c r="A815" s="13" t="n">
        <v>39882</v>
      </c>
      <c r="B815" s="14" t="n">
        <v>1.2783</v>
      </c>
      <c r="C815" t="inlineStr">
        <is>
          <t>После</t>
        </is>
      </c>
      <c r="D815" s="15">
        <f>B815/B814-1</f>
        <v/>
      </c>
      <c r="E815" s="16">
        <f>LN(B815/B814)</f>
        <v/>
      </c>
      <c r="F815" s="15">
        <f>_xlfn.STDEV.S(OFFSET(D815,-Описание!$B$12,0,Описание!$B$12,1))</f>
        <v/>
      </c>
      <c r="G815" s="15">
        <f>SQRT(Описание!$B$13*G814^2+(1-Описание!$B$13)*D814^2)</f>
        <v/>
      </c>
      <c r="H815" s="17">
        <f>Описание!$B$9*F815*Описание!$B$7</f>
        <v/>
      </c>
      <c r="I815" s="17">
        <f>Описание!$B$9*G815*Описание!$B$7</f>
        <v/>
      </c>
    </row>
    <row r="816">
      <c r="A816" s="13" t="n">
        <v>39883</v>
      </c>
      <c r="B816" s="14" t="n">
        <v>1.2786</v>
      </c>
      <c r="C816" t="inlineStr">
        <is>
          <t>После</t>
        </is>
      </c>
      <c r="D816" s="15">
        <f>B816/B815-1</f>
        <v/>
      </c>
      <c r="E816" s="16">
        <f>LN(B816/B815)</f>
        <v/>
      </c>
      <c r="F816" s="15">
        <f>_xlfn.STDEV.S(OFFSET(D816,-Описание!$B$12,0,Описание!$B$12,1))</f>
        <v/>
      </c>
      <c r="G816" s="15">
        <f>SQRT(Описание!$B$13*G815^2+(1-Описание!$B$13)*D815^2)</f>
        <v/>
      </c>
      <c r="H816" s="17">
        <f>Описание!$B$9*F816*Описание!$B$7</f>
        <v/>
      </c>
      <c r="I816" s="17">
        <f>Описание!$B$9*G816*Описание!$B$7</f>
        <v/>
      </c>
    </row>
    <row r="817">
      <c r="A817" s="13" t="n">
        <v>39884</v>
      </c>
      <c r="B817" s="14" t="n">
        <v>1.2782</v>
      </c>
      <c r="C817" t="inlineStr">
        <is>
          <t>После</t>
        </is>
      </c>
      <c r="D817" s="15">
        <f>B817/B816-1</f>
        <v/>
      </c>
      <c r="E817" s="16">
        <f>LN(B817/B816)</f>
        <v/>
      </c>
      <c r="F817" s="15">
        <f>_xlfn.STDEV.S(OFFSET(D817,-Описание!$B$12,0,Описание!$B$12,1))</f>
        <v/>
      </c>
      <c r="G817" s="15">
        <f>SQRT(Описание!$B$13*G816^2+(1-Описание!$B$13)*D816^2)</f>
        <v/>
      </c>
      <c r="H817" s="17">
        <f>Описание!$B$9*F817*Описание!$B$7</f>
        <v/>
      </c>
      <c r="I817" s="17">
        <f>Описание!$B$9*G817*Описание!$B$7</f>
        <v/>
      </c>
    </row>
    <row r="818">
      <c r="A818" s="13" t="n">
        <v>39885</v>
      </c>
      <c r="B818" s="14" t="n">
        <v>1.2905</v>
      </c>
      <c r="C818" t="inlineStr">
        <is>
          <t>После</t>
        </is>
      </c>
      <c r="D818" s="15">
        <f>B818/B817-1</f>
        <v/>
      </c>
      <c r="E818" s="16">
        <f>LN(B818/B817)</f>
        <v/>
      </c>
      <c r="F818" s="15">
        <f>_xlfn.STDEV.S(OFFSET(D818,-Описание!$B$12,0,Описание!$B$12,1))</f>
        <v/>
      </c>
      <c r="G818" s="15">
        <f>SQRT(Описание!$B$13*G817^2+(1-Описание!$B$13)*D817^2)</f>
        <v/>
      </c>
      <c r="H818" s="17">
        <f>Описание!$B$9*F818*Описание!$B$7</f>
        <v/>
      </c>
      <c r="I818" s="17">
        <f>Описание!$B$9*G818*Описание!$B$7</f>
        <v/>
      </c>
    </row>
    <row r="819">
      <c r="A819" s="13" t="n">
        <v>39888</v>
      </c>
      <c r="B819" s="14" t="n">
        <v>1.3042</v>
      </c>
      <c r="C819" t="inlineStr">
        <is>
          <t>После</t>
        </is>
      </c>
      <c r="D819" s="15">
        <f>B819/B818-1</f>
        <v/>
      </c>
      <c r="E819" s="16">
        <f>LN(B819/B818)</f>
        <v/>
      </c>
      <c r="F819" s="15">
        <f>_xlfn.STDEV.S(OFFSET(D819,-Описание!$B$12,0,Описание!$B$12,1))</f>
        <v/>
      </c>
      <c r="G819" s="15">
        <f>SQRT(Описание!$B$13*G818^2+(1-Описание!$B$13)*D818^2)</f>
        <v/>
      </c>
      <c r="H819" s="17">
        <f>Описание!$B$9*F819*Описание!$B$7</f>
        <v/>
      </c>
      <c r="I819" s="17">
        <f>Описание!$B$9*G819*Описание!$B$7</f>
        <v/>
      </c>
    </row>
    <row r="820">
      <c r="A820" s="13" t="n">
        <v>39889</v>
      </c>
      <c r="B820" s="14" t="n">
        <v>1.2942</v>
      </c>
      <c r="C820" t="inlineStr">
        <is>
          <t>После</t>
        </is>
      </c>
      <c r="D820" s="15">
        <f>B820/B819-1</f>
        <v/>
      </c>
      <c r="E820" s="16">
        <f>LN(B820/B819)</f>
        <v/>
      </c>
      <c r="F820" s="15">
        <f>_xlfn.STDEV.S(OFFSET(D820,-Описание!$B$12,0,Описание!$B$12,1))</f>
        <v/>
      </c>
      <c r="G820" s="15">
        <f>SQRT(Описание!$B$13*G819^2+(1-Описание!$B$13)*D819^2)</f>
        <v/>
      </c>
      <c r="H820" s="17">
        <f>Описание!$B$9*F820*Описание!$B$7</f>
        <v/>
      </c>
      <c r="I820" s="17">
        <f>Описание!$B$9*G820*Описание!$B$7</f>
        <v/>
      </c>
    </row>
    <row r="821">
      <c r="A821" s="13" t="n">
        <v>39890</v>
      </c>
      <c r="B821" s="14" t="n">
        <v>1.313</v>
      </c>
      <c r="C821" t="inlineStr">
        <is>
          <t>После</t>
        </is>
      </c>
      <c r="D821" s="15">
        <f>B821/B820-1</f>
        <v/>
      </c>
      <c r="E821" s="16">
        <f>LN(B821/B820)</f>
        <v/>
      </c>
      <c r="F821" s="15">
        <f>_xlfn.STDEV.S(OFFSET(D821,-Описание!$B$12,0,Описание!$B$12,1))</f>
        <v/>
      </c>
      <c r="G821" s="15">
        <f>SQRT(Описание!$B$13*G820^2+(1-Описание!$B$13)*D820^2)</f>
        <v/>
      </c>
      <c r="H821" s="17">
        <f>Описание!$B$9*F821*Описание!$B$7</f>
        <v/>
      </c>
      <c r="I821" s="17">
        <f>Описание!$B$9*G821*Описание!$B$7</f>
        <v/>
      </c>
    </row>
    <row r="822">
      <c r="A822" s="13" t="n">
        <v>39891</v>
      </c>
      <c r="B822" s="14" t="n">
        <v>1.3671</v>
      </c>
      <c r="C822" t="inlineStr">
        <is>
          <t>После</t>
        </is>
      </c>
      <c r="D822" s="15">
        <f>B822/B821-1</f>
        <v/>
      </c>
      <c r="E822" s="16">
        <f>LN(B822/B821)</f>
        <v/>
      </c>
      <c r="F822" s="15">
        <f>_xlfn.STDEV.S(OFFSET(D822,-Описание!$B$12,0,Описание!$B$12,1))</f>
        <v/>
      </c>
      <c r="G822" s="15">
        <f>SQRT(Описание!$B$13*G821^2+(1-Описание!$B$13)*D821^2)</f>
        <v/>
      </c>
      <c r="H822" s="17">
        <f>Описание!$B$9*F822*Описание!$B$7</f>
        <v/>
      </c>
      <c r="I822" s="17">
        <f>Описание!$B$9*G822*Описание!$B$7</f>
        <v/>
      </c>
    </row>
    <row r="823">
      <c r="A823" s="13" t="n">
        <v>39892</v>
      </c>
      <c r="B823" s="14" t="n">
        <v>1.3549</v>
      </c>
      <c r="C823" t="inlineStr">
        <is>
          <t>После</t>
        </is>
      </c>
      <c r="D823" s="15">
        <f>B823/B822-1</f>
        <v/>
      </c>
      <c r="E823" s="16">
        <f>LN(B823/B822)</f>
        <v/>
      </c>
      <c r="F823" s="15">
        <f>_xlfn.STDEV.S(OFFSET(D823,-Описание!$B$12,0,Описание!$B$12,1))</f>
        <v/>
      </c>
      <c r="G823" s="15">
        <f>SQRT(Описание!$B$13*G822^2+(1-Описание!$B$13)*D822^2)</f>
        <v/>
      </c>
      <c r="H823" s="17">
        <f>Описание!$B$9*F823*Описание!$B$7</f>
        <v/>
      </c>
      <c r="I823" s="17">
        <f>Описание!$B$9*G823*Описание!$B$7</f>
        <v/>
      </c>
    </row>
    <row r="824">
      <c r="A824" s="13" t="n">
        <v>39895</v>
      </c>
      <c r="B824" s="14" t="n">
        <v>1.3558</v>
      </c>
      <c r="C824" t="inlineStr">
        <is>
          <t>После</t>
        </is>
      </c>
      <c r="D824" s="15">
        <f>B824/B823-1</f>
        <v/>
      </c>
      <c r="E824" s="16">
        <f>LN(B824/B823)</f>
        <v/>
      </c>
      <c r="F824" s="15">
        <f>_xlfn.STDEV.S(OFFSET(D824,-Описание!$B$12,0,Описание!$B$12,1))</f>
        <v/>
      </c>
      <c r="G824" s="15">
        <f>SQRT(Описание!$B$13*G823^2+(1-Описание!$B$13)*D823^2)</f>
        <v/>
      </c>
      <c r="H824" s="17">
        <f>Описание!$B$9*F824*Описание!$B$7</f>
        <v/>
      </c>
      <c r="I824" s="17">
        <f>Описание!$B$9*G824*Описание!$B$7</f>
        <v/>
      </c>
    </row>
    <row r="825">
      <c r="A825" s="13" t="n">
        <v>39896</v>
      </c>
      <c r="B825" s="14" t="n">
        <v>1.3507</v>
      </c>
      <c r="C825" t="inlineStr">
        <is>
          <t>После</t>
        </is>
      </c>
      <c r="D825" s="15">
        <f>B825/B824-1</f>
        <v/>
      </c>
      <c r="E825" s="16">
        <f>LN(B825/B824)</f>
        <v/>
      </c>
      <c r="F825" s="15">
        <f>_xlfn.STDEV.S(OFFSET(D825,-Описание!$B$12,0,Описание!$B$12,1))</f>
        <v/>
      </c>
      <c r="G825" s="15">
        <f>SQRT(Описание!$B$13*G824^2+(1-Описание!$B$13)*D824^2)</f>
        <v/>
      </c>
      <c r="H825" s="17">
        <f>Описание!$B$9*F825*Описание!$B$7</f>
        <v/>
      </c>
      <c r="I825" s="17">
        <f>Описание!$B$9*G825*Описание!$B$7</f>
        <v/>
      </c>
    </row>
    <row r="826">
      <c r="A826" s="13" t="n">
        <v>39897</v>
      </c>
      <c r="B826" s="14" t="n">
        <v>1.3494</v>
      </c>
      <c r="C826" t="inlineStr">
        <is>
          <t>После</t>
        </is>
      </c>
      <c r="D826" s="15">
        <f>B826/B825-1</f>
        <v/>
      </c>
      <c r="E826" s="16">
        <f>LN(B826/B825)</f>
        <v/>
      </c>
      <c r="F826" s="15">
        <f>_xlfn.STDEV.S(OFFSET(D826,-Описание!$B$12,0,Описание!$B$12,1))</f>
        <v/>
      </c>
      <c r="G826" s="15">
        <f>SQRT(Описание!$B$13*G825^2+(1-Описание!$B$13)*D825^2)</f>
        <v/>
      </c>
      <c r="H826" s="17">
        <f>Описание!$B$9*F826*Описание!$B$7</f>
        <v/>
      </c>
      <c r="I826" s="17">
        <f>Описание!$B$9*G826*Описание!$B$7</f>
        <v/>
      </c>
    </row>
    <row r="827">
      <c r="A827" s="13" t="n">
        <v>39898</v>
      </c>
      <c r="B827" s="14" t="n">
        <v>1.3607</v>
      </c>
      <c r="C827" t="inlineStr">
        <is>
          <t>После</t>
        </is>
      </c>
      <c r="D827" s="15">
        <f>B827/B826-1</f>
        <v/>
      </c>
      <c r="E827" s="16">
        <f>LN(B827/B826)</f>
        <v/>
      </c>
      <c r="F827" s="15">
        <f>_xlfn.STDEV.S(OFFSET(D827,-Описание!$B$12,0,Описание!$B$12,1))</f>
        <v/>
      </c>
      <c r="G827" s="15">
        <f>SQRT(Описание!$B$13*G826^2+(1-Описание!$B$13)*D826^2)</f>
        <v/>
      </c>
      <c r="H827" s="17">
        <f>Описание!$B$9*F827*Описание!$B$7</f>
        <v/>
      </c>
      <c r="I827" s="17">
        <f>Описание!$B$9*G827*Описание!$B$7</f>
        <v/>
      </c>
    </row>
    <row r="828">
      <c r="A828" s="13" t="n">
        <v>39899</v>
      </c>
      <c r="B828" s="14" t="n">
        <v>1.3295</v>
      </c>
      <c r="C828" t="inlineStr">
        <is>
          <t>После</t>
        </is>
      </c>
      <c r="D828" s="15">
        <f>B828/B827-1</f>
        <v/>
      </c>
      <c r="E828" s="16">
        <f>LN(B828/B827)</f>
        <v/>
      </c>
      <c r="F828" s="15">
        <f>_xlfn.STDEV.S(OFFSET(D828,-Описание!$B$12,0,Описание!$B$12,1))</f>
        <v/>
      </c>
      <c r="G828" s="15">
        <f>SQRT(Описание!$B$13*G827^2+(1-Описание!$B$13)*D827^2)</f>
        <v/>
      </c>
      <c r="H828" s="17">
        <f>Описание!$B$9*F828*Описание!$B$7</f>
        <v/>
      </c>
      <c r="I828" s="17">
        <f>Описание!$B$9*G828*Описание!$B$7</f>
        <v/>
      </c>
    </row>
    <row r="829">
      <c r="A829" s="13" t="n">
        <v>39902</v>
      </c>
      <c r="B829" s="14" t="n">
        <v>1.3193</v>
      </c>
      <c r="C829" t="inlineStr">
        <is>
          <t>После</t>
        </is>
      </c>
      <c r="D829" s="15">
        <f>B829/B828-1</f>
        <v/>
      </c>
      <c r="E829" s="16">
        <f>LN(B829/B828)</f>
        <v/>
      </c>
      <c r="F829" s="15">
        <f>_xlfn.STDEV.S(OFFSET(D829,-Описание!$B$12,0,Описание!$B$12,1))</f>
        <v/>
      </c>
      <c r="G829" s="15">
        <f>SQRT(Описание!$B$13*G828^2+(1-Описание!$B$13)*D828^2)</f>
        <v/>
      </c>
      <c r="H829" s="17">
        <f>Описание!$B$9*F829*Описание!$B$7</f>
        <v/>
      </c>
      <c r="I829" s="17">
        <f>Описание!$B$9*G829*Описание!$B$7</f>
        <v/>
      </c>
    </row>
    <row r="830">
      <c r="A830" s="13" t="n">
        <v>39903</v>
      </c>
      <c r="B830" s="14" t="n">
        <v>1.3308</v>
      </c>
      <c r="C830" t="inlineStr">
        <is>
          <t>После</t>
        </is>
      </c>
      <c r="D830" s="15">
        <f>B830/B829-1</f>
        <v/>
      </c>
      <c r="E830" s="16">
        <f>LN(B830/B829)</f>
        <v/>
      </c>
      <c r="F830" s="15">
        <f>_xlfn.STDEV.S(OFFSET(D830,-Описание!$B$12,0,Описание!$B$12,1))</f>
        <v/>
      </c>
      <c r="G830" s="15">
        <f>SQRT(Описание!$B$13*G829^2+(1-Описание!$B$13)*D829^2)</f>
        <v/>
      </c>
      <c r="H830" s="17">
        <f>Описание!$B$9*F830*Описание!$B$7</f>
        <v/>
      </c>
      <c r="I830" s="17">
        <f>Описание!$B$9*G830*Описание!$B$7</f>
        <v/>
      </c>
    </row>
    <row r="831">
      <c r="A831" s="13" t="n">
        <v>39904</v>
      </c>
      <c r="B831" s="14" t="n">
        <v>1.3246</v>
      </c>
      <c r="C831" t="inlineStr">
        <is>
          <t>После</t>
        </is>
      </c>
      <c r="D831" s="15">
        <f>B831/B830-1</f>
        <v/>
      </c>
      <c r="E831" s="16">
        <f>LN(B831/B830)</f>
        <v/>
      </c>
      <c r="F831" s="15">
        <f>_xlfn.STDEV.S(OFFSET(D831,-Описание!$B$12,0,Описание!$B$12,1))</f>
        <v/>
      </c>
      <c r="G831" s="15">
        <f>SQRT(Описание!$B$13*G830^2+(1-Описание!$B$13)*D830^2)</f>
        <v/>
      </c>
      <c r="H831" s="17">
        <f>Описание!$B$9*F831*Описание!$B$7</f>
        <v/>
      </c>
      <c r="I831" s="17">
        <f>Описание!$B$9*G831*Описание!$B$7</f>
        <v/>
      </c>
    </row>
    <row r="832">
      <c r="A832" s="13" t="n">
        <v>39905</v>
      </c>
      <c r="B832" s="14" t="n">
        <v>1.3392</v>
      </c>
      <c r="C832" t="inlineStr">
        <is>
          <t>После</t>
        </is>
      </c>
      <c r="D832" s="15">
        <f>B832/B831-1</f>
        <v/>
      </c>
      <c r="E832" s="16">
        <f>LN(B832/B831)</f>
        <v/>
      </c>
      <c r="F832" s="15">
        <f>_xlfn.STDEV.S(OFFSET(D832,-Описание!$B$12,0,Описание!$B$12,1))</f>
        <v/>
      </c>
      <c r="G832" s="15">
        <f>SQRT(Описание!$B$13*G831^2+(1-Описание!$B$13)*D831^2)</f>
        <v/>
      </c>
      <c r="H832" s="17">
        <f>Описание!$B$9*F832*Описание!$B$7</f>
        <v/>
      </c>
      <c r="I832" s="17">
        <f>Описание!$B$9*G832*Описание!$B$7</f>
        <v/>
      </c>
    </row>
    <row r="833">
      <c r="A833" s="13" t="n">
        <v>39906</v>
      </c>
      <c r="B833" s="14" t="n">
        <v>1.3425</v>
      </c>
      <c r="C833" t="inlineStr">
        <is>
          <t>После</t>
        </is>
      </c>
      <c r="D833" s="15">
        <f>B833/B832-1</f>
        <v/>
      </c>
      <c r="E833" s="16">
        <f>LN(B833/B832)</f>
        <v/>
      </c>
      <c r="F833" s="15">
        <f>_xlfn.STDEV.S(OFFSET(D833,-Описание!$B$12,0,Описание!$B$12,1))</f>
        <v/>
      </c>
      <c r="G833" s="15">
        <f>SQRT(Описание!$B$13*G832^2+(1-Описание!$B$13)*D832^2)</f>
        <v/>
      </c>
      <c r="H833" s="17">
        <f>Описание!$B$9*F833*Описание!$B$7</f>
        <v/>
      </c>
      <c r="I833" s="17">
        <f>Описание!$B$9*G833*Описание!$B$7</f>
        <v/>
      </c>
    </row>
    <row r="834">
      <c r="A834" s="13" t="n">
        <v>39909</v>
      </c>
      <c r="B834" s="14" t="n">
        <v>1.3496</v>
      </c>
      <c r="C834" t="inlineStr">
        <is>
          <t>После</t>
        </is>
      </c>
      <c r="D834" s="15">
        <f>B834/B833-1</f>
        <v/>
      </c>
      <c r="E834" s="16">
        <f>LN(B834/B833)</f>
        <v/>
      </c>
      <c r="F834" s="15">
        <f>_xlfn.STDEV.S(OFFSET(D834,-Описание!$B$12,0,Описание!$B$12,1))</f>
        <v/>
      </c>
      <c r="G834" s="15">
        <f>SQRT(Описание!$B$13*G833^2+(1-Описание!$B$13)*D833^2)</f>
        <v/>
      </c>
      <c r="H834" s="17">
        <f>Описание!$B$9*F834*Описание!$B$7</f>
        <v/>
      </c>
      <c r="I834" s="17">
        <f>Описание!$B$9*G834*Описание!$B$7</f>
        <v/>
      </c>
    </row>
    <row r="835">
      <c r="A835" s="13" t="n">
        <v>39910</v>
      </c>
      <c r="B835" s="14" t="n">
        <v>1.3255</v>
      </c>
      <c r="C835" t="inlineStr">
        <is>
          <t>После</t>
        </is>
      </c>
      <c r="D835" s="15">
        <f>B835/B834-1</f>
        <v/>
      </c>
      <c r="E835" s="16">
        <f>LN(B835/B834)</f>
        <v/>
      </c>
      <c r="F835" s="15">
        <f>_xlfn.STDEV.S(OFFSET(D835,-Описание!$B$12,0,Описание!$B$12,1))</f>
        <v/>
      </c>
      <c r="G835" s="15">
        <f>SQRT(Описание!$B$13*G834^2+(1-Описание!$B$13)*D834^2)</f>
        <v/>
      </c>
      <c r="H835" s="17">
        <f>Описание!$B$9*F835*Описание!$B$7</f>
        <v/>
      </c>
      <c r="I835" s="17">
        <f>Описание!$B$9*G835*Описание!$B$7</f>
        <v/>
      </c>
    </row>
    <row r="836">
      <c r="A836" s="13" t="n">
        <v>39911</v>
      </c>
      <c r="B836" s="14" t="n">
        <v>1.3231</v>
      </c>
      <c r="C836" t="inlineStr">
        <is>
          <t>После</t>
        </is>
      </c>
      <c r="D836" s="15">
        <f>B836/B835-1</f>
        <v/>
      </c>
      <c r="E836" s="16">
        <f>LN(B836/B835)</f>
        <v/>
      </c>
      <c r="F836" s="15">
        <f>_xlfn.STDEV.S(OFFSET(D836,-Описание!$B$12,0,Описание!$B$12,1))</f>
        <v/>
      </c>
      <c r="G836" s="15">
        <f>SQRT(Описание!$B$13*G835^2+(1-Описание!$B$13)*D835^2)</f>
        <v/>
      </c>
      <c r="H836" s="17">
        <f>Описание!$B$9*F836*Описание!$B$7</f>
        <v/>
      </c>
      <c r="I836" s="17">
        <f>Описание!$B$9*G836*Описание!$B$7</f>
        <v/>
      </c>
    </row>
    <row r="837">
      <c r="A837" s="13" t="n">
        <v>39912</v>
      </c>
      <c r="B837" s="14" t="n">
        <v>1.3273</v>
      </c>
      <c r="C837" t="inlineStr">
        <is>
          <t>После</t>
        </is>
      </c>
      <c r="D837" s="15">
        <f>B837/B836-1</f>
        <v/>
      </c>
      <c r="E837" s="16">
        <f>LN(B837/B836)</f>
        <v/>
      </c>
      <c r="F837" s="15">
        <f>_xlfn.STDEV.S(OFFSET(D837,-Описание!$B$12,0,Описание!$B$12,1))</f>
        <v/>
      </c>
      <c r="G837" s="15">
        <f>SQRT(Описание!$B$13*G836^2+(1-Описание!$B$13)*D836^2)</f>
        <v/>
      </c>
      <c r="H837" s="17">
        <f>Описание!$B$9*F837*Описание!$B$7</f>
        <v/>
      </c>
      <c r="I837" s="17">
        <f>Описание!$B$9*G837*Описание!$B$7</f>
        <v/>
      </c>
    </row>
    <row r="838">
      <c r="A838" s="13" t="n">
        <v>39917</v>
      </c>
      <c r="B838" s="14" t="n">
        <v>1.3276</v>
      </c>
      <c r="C838" t="inlineStr">
        <is>
          <t>После</t>
        </is>
      </c>
      <c r="D838" s="15">
        <f>B838/B837-1</f>
        <v/>
      </c>
      <c r="E838" s="16">
        <f>LN(B838/B837)</f>
        <v/>
      </c>
      <c r="F838" s="15">
        <f>_xlfn.STDEV.S(OFFSET(D838,-Описание!$B$12,0,Описание!$B$12,1))</f>
        <v/>
      </c>
      <c r="G838" s="15">
        <f>SQRT(Описание!$B$13*G837^2+(1-Описание!$B$13)*D837^2)</f>
        <v/>
      </c>
      <c r="H838" s="17">
        <f>Описание!$B$9*F838*Описание!$B$7</f>
        <v/>
      </c>
      <c r="I838" s="17">
        <f>Описание!$B$9*G838*Описание!$B$7</f>
        <v/>
      </c>
    </row>
    <row r="839">
      <c r="A839" s="13" t="n">
        <v>39918</v>
      </c>
      <c r="B839" s="14" t="n">
        <v>1.3173</v>
      </c>
      <c r="C839" t="inlineStr">
        <is>
          <t>После</t>
        </is>
      </c>
      <c r="D839" s="15">
        <f>B839/B838-1</f>
        <v/>
      </c>
      <c r="E839" s="16">
        <f>LN(B839/B838)</f>
        <v/>
      </c>
      <c r="F839" s="15">
        <f>_xlfn.STDEV.S(OFFSET(D839,-Описание!$B$12,0,Описание!$B$12,1))</f>
        <v/>
      </c>
      <c r="G839" s="15">
        <f>SQRT(Описание!$B$13*G838^2+(1-Описание!$B$13)*D838^2)</f>
        <v/>
      </c>
      <c r="H839" s="17">
        <f>Описание!$B$9*F839*Описание!$B$7</f>
        <v/>
      </c>
      <c r="I839" s="17">
        <f>Описание!$B$9*G839*Описание!$B$7</f>
        <v/>
      </c>
    </row>
    <row r="840">
      <c r="A840" s="13" t="n">
        <v>39919</v>
      </c>
      <c r="B840" s="14" t="n">
        <v>1.3196</v>
      </c>
      <c r="C840" t="inlineStr">
        <is>
          <t>После</t>
        </is>
      </c>
      <c r="D840" s="15">
        <f>B840/B839-1</f>
        <v/>
      </c>
      <c r="E840" s="16">
        <f>LN(B840/B839)</f>
        <v/>
      </c>
      <c r="F840" s="15">
        <f>_xlfn.STDEV.S(OFFSET(D840,-Описание!$B$12,0,Описание!$B$12,1))</f>
        <v/>
      </c>
      <c r="G840" s="15">
        <f>SQRT(Описание!$B$13*G839^2+(1-Описание!$B$13)*D839^2)</f>
        <v/>
      </c>
      <c r="H840" s="17">
        <f>Описание!$B$9*F840*Описание!$B$7</f>
        <v/>
      </c>
      <c r="I840" s="17">
        <f>Описание!$B$9*G840*Описание!$B$7</f>
        <v/>
      </c>
    </row>
    <row r="841">
      <c r="A841" s="13" t="n">
        <v>39920</v>
      </c>
      <c r="B841" s="14" t="n">
        <v>1.3058</v>
      </c>
      <c r="C841" t="inlineStr">
        <is>
          <t>После</t>
        </is>
      </c>
      <c r="D841" s="15">
        <f>B841/B840-1</f>
        <v/>
      </c>
      <c r="E841" s="16">
        <f>LN(B841/B840)</f>
        <v/>
      </c>
      <c r="F841" s="15">
        <f>_xlfn.STDEV.S(OFFSET(D841,-Описание!$B$12,0,Описание!$B$12,1))</f>
        <v/>
      </c>
      <c r="G841" s="15">
        <f>SQRT(Описание!$B$13*G840^2+(1-Описание!$B$13)*D840^2)</f>
        <v/>
      </c>
      <c r="H841" s="17">
        <f>Описание!$B$9*F841*Описание!$B$7</f>
        <v/>
      </c>
      <c r="I841" s="17">
        <f>Описание!$B$9*G841*Описание!$B$7</f>
        <v/>
      </c>
    </row>
    <row r="842">
      <c r="A842" s="13" t="n">
        <v>39923</v>
      </c>
      <c r="B842" s="14" t="n">
        <v>1.2966</v>
      </c>
      <c r="C842" t="inlineStr">
        <is>
          <t>После</t>
        </is>
      </c>
      <c r="D842" s="15">
        <f>B842/B841-1</f>
        <v/>
      </c>
      <c r="E842" s="16">
        <f>LN(B842/B841)</f>
        <v/>
      </c>
      <c r="F842" s="15">
        <f>_xlfn.STDEV.S(OFFSET(D842,-Описание!$B$12,0,Описание!$B$12,1))</f>
        <v/>
      </c>
      <c r="G842" s="15">
        <f>SQRT(Описание!$B$13*G841^2+(1-Описание!$B$13)*D841^2)</f>
        <v/>
      </c>
      <c r="H842" s="17">
        <f>Описание!$B$9*F842*Описание!$B$7</f>
        <v/>
      </c>
      <c r="I842" s="17">
        <f>Описание!$B$9*G842*Описание!$B$7</f>
        <v/>
      </c>
    </row>
    <row r="843">
      <c r="A843" s="13" t="n">
        <v>39924</v>
      </c>
      <c r="B843" s="14" t="n">
        <v>1.2932</v>
      </c>
      <c r="C843" t="inlineStr">
        <is>
          <t>После</t>
        </is>
      </c>
      <c r="D843" s="15">
        <f>B843/B842-1</f>
        <v/>
      </c>
      <c r="E843" s="16">
        <f>LN(B843/B842)</f>
        <v/>
      </c>
      <c r="F843" s="15">
        <f>_xlfn.STDEV.S(OFFSET(D843,-Описание!$B$12,0,Описание!$B$12,1))</f>
        <v/>
      </c>
      <c r="G843" s="15">
        <f>SQRT(Описание!$B$13*G842^2+(1-Описание!$B$13)*D842^2)</f>
        <v/>
      </c>
      <c r="H843" s="17">
        <f>Описание!$B$9*F843*Описание!$B$7</f>
        <v/>
      </c>
      <c r="I843" s="17">
        <f>Описание!$B$9*G843*Описание!$B$7</f>
        <v/>
      </c>
    </row>
    <row r="844">
      <c r="A844" s="13" t="n">
        <v>39925</v>
      </c>
      <c r="B844" s="14" t="n">
        <v>1.2947</v>
      </c>
      <c r="C844" t="inlineStr">
        <is>
          <t>После</t>
        </is>
      </c>
      <c r="D844" s="15">
        <f>B844/B843-1</f>
        <v/>
      </c>
      <c r="E844" s="16">
        <f>LN(B844/B843)</f>
        <v/>
      </c>
      <c r="F844" s="15">
        <f>_xlfn.STDEV.S(OFFSET(D844,-Описание!$B$12,0,Описание!$B$12,1))</f>
        <v/>
      </c>
      <c r="G844" s="15">
        <f>SQRT(Описание!$B$13*G843^2+(1-Описание!$B$13)*D843^2)</f>
        <v/>
      </c>
      <c r="H844" s="17">
        <f>Описание!$B$9*F844*Описание!$B$7</f>
        <v/>
      </c>
      <c r="I844" s="17">
        <f>Описание!$B$9*G844*Описание!$B$7</f>
        <v/>
      </c>
    </row>
    <row r="845">
      <c r="A845" s="13" t="n">
        <v>39926</v>
      </c>
      <c r="B845" s="14" t="n">
        <v>1.305</v>
      </c>
      <c r="C845" t="inlineStr">
        <is>
          <t>После</t>
        </is>
      </c>
      <c r="D845" s="15">
        <f>B845/B844-1</f>
        <v/>
      </c>
      <c r="E845" s="16">
        <f>LN(B845/B844)</f>
        <v/>
      </c>
      <c r="F845" s="15">
        <f>_xlfn.STDEV.S(OFFSET(D845,-Описание!$B$12,0,Описание!$B$12,1))</f>
        <v/>
      </c>
      <c r="G845" s="15">
        <f>SQRT(Описание!$B$13*G844^2+(1-Описание!$B$13)*D844^2)</f>
        <v/>
      </c>
      <c r="H845" s="17">
        <f>Описание!$B$9*F845*Описание!$B$7</f>
        <v/>
      </c>
      <c r="I845" s="17">
        <f>Описание!$B$9*G845*Описание!$B$7</f>
        <v/>
      </c>
    </row>
    <row r="846">
      <c r="A846" s="13" t="n">
        <v>39927</v>
      </c>
      <c r="B846" s="14" t="n">
        <v>1.3232</v>
      </c>
      <c r="C846" t="inlineStr">
        <is>
          <t>После</t>
        </is>
      </c>
      <c r="D846" s="15">
        <f>B846/B845-1</f>
        <v/>
      </c>
      <c r="E846" s="16">
        <f>LN(B846/B845)</f>
        <v/>
      </c>
      <c r="F846" s="15">
        <f>_xlfn.STDEV.S(OFFSET(D846,-Описание!$B$12,0,Описание!$B$12,1))</f>
        <v/>
      </c>
      <c r="G846" s="15">
        <f>SQRT(Описание!$B$13*G845^2+(1-Описание!$B$13)*D845^2)</f>
        <v/>
      </c>
      <c r="H846" s="17">
        <f>Описание!$B$9*F846*Описание!$B$7</f>
        <v/>
      </c>
      <c r="I846" s="17">
        <f>Описание!$B$9*G846*Описание!$B$7</f>
        <v/>
      </c>
    </row>
    <row r="847">
      <c r="A847" s="13" t="n">
        <v>39930</v>
      </c>
      <c r="B847" s="14" t="n">
        <v>1.3125</v>
      </c>
      <c r="C847" t="inlineStr">
        <is>
          <t>После</t>
        </is>
      </c>
      <c r="D847" s="15">
        <f>B847/B846-1</f>
        <v/>
      </c>
      <c r="E847" s="16">
        <f>LN(B847/B846)</f>
        <v/>
      </c>
      <c r="F847" s="15">
        <f>_xlfn.STDEV.S(OFFSET(D847,-Описание!$B$12,0,Описание!$B$12,1))</f>
        <v/>
      </c>
      <c r="G847" s="15">
        <f>SQRT(Описание!$B$13*G846^2+(1-Описание!$B$13)*D846^2)</f>
        <v/>
      </c>
      <c r="H847" s="17">
        <f>Описание!$B$9*F847*Описание!$B$7</f>
        <v/>
      </c>
      <c r="I847" s="17">
        <f>Описание!$B$9*G847*Описание!$B$7</f>
        <v/>
      </c>
    </row>
    <row r="848">
      <c r="A848" s="13" t="n">
        <v>39931</v>
      </c>
      <c r="B848" s="14" t="n">
        <v>1.2992</v>
      </c>
      <c r="C848" t="inlineStr">
        <is>
          <t>После</t>
        </is>
      </c>
      <c r="D848" s="15">
        <f>B848/B847-1</f>
        <v/>
      </c>
      <c r="E848" s="16">
        <f>LN(B848/B847)</f>
        <v/>
      </c>
      <c r="F848" s="15">
        <f>_xlfn.STDEV.S(OFFSET(D848,-Описание!$B$12,0,Описание!$B$12,1))</f>
        <v/>
      </c>
      <c r="G848" s="15">
        <f>SQRT(Описание!$B$13*G847^2+(1-Описание!$B$13)*D847^2)</f>
        <v/>
      </c>
      <c r="H848" s="17">
        <f>Описание!$B$9*F848*Описание!$B$7</f>
        <v/>
      </c>
      <c r="I848" s="17">
        <f>Описание!$B$9*G848*Описание!$B$7</f>
        <v/>
      </c>
    </row>
    <row r="849">
      <c r="A849" s="13" t="n">
        <v>39932</v>
      </c>
      <c r="B849" s="14" t="n">
        <v>1.3266</v>
      </c>
      <c r="C849" t="inlineStr">
        <is>
          <t>После</t>
        </is>
      </c>
      <c r="D849" s="15">
        <f>B849/B848-1</f>
        <v/>
      </c>
      <c r="E849" s="16">
        <f>LN(B849/B848)</f>
        <v/>
      </c>
      <c r="F849" s="15">
        <f>_xlfn.STDEV.S(OFFSET(D849,-Описание!$B$12,0,Описание!$B$12,1))</f>
        <v/>
      </c>
      <c r="G849" s="15">
        <f>SQRT(Описание!$B$13*G848^2+(1-Описание!$B$13)*D848^2)</f>
        <v/>
      </c>
      <c r="H849" s="17">
        <f>Описание!$B$9*F849*Описание!$B$7</f>
        <v/>
      </c>
      <c r="I849" s="17">
        <f>Описание!$B$9*G849*Описание!$B$7</f>
        <v/>
      </c>
    </row>
    <row r="850">
      <c r="A850" s="13" t="n">
        <v>39933</v>
      </c>
      <c r="B850" s="14" t="n">
        <v>1.3275</v>
      </c>
      <c r="C850" t="inlineStr">
        <is>
          <t>После</t>
        </is>
      </c>
      <c r="D850" s="15">
        <f>B850/B849-1</f>
        <v/>
      </c>
      <c r="E850" s="16">
        <f>LN(B850/B849)</f>
        <v/>
      </c>
      <c r="F850" s="15">
        <f>_xlfn.STDEV.S(OFFSET(D850,-Описание!$B$12,0,Описание!$B$12,1))</f>
        <v/>
      </c>
      <c r="G850" s="15">
        <f>SQRT(Описание!$B$13*G849^2+(1-Описание!$B$13)*D849^2)</f>
        <v/>
      </c>
      <c r="H850" s="17">
        <f>Описание!$B$9*F850*Описание!$B$7</f>
        <v/>
      </c>
      <c r="I850" s="17">
        <f>Описание!$B$9*G850*Описание!$B$7</f>
        <v/>
      </c>
    </row>
    <row r="851">
      <c r="A851" s="13" t="n">
        <v>39937</v>
      </c>
      <c r="B851" s="14" t="n">
        <v>1.3223</v>
      </c>
      <c r="C851" t="inlineStr">
        <is>
          <t>После</t>
        </is>
      </c>
      <c r="D851" s="15">
        <f>B851/B850-1</f>
        <v/>
      </c>
      <c r="E851" s="16">
        <f>LN(B851/B850)</f>
        <v/>
      </c>
      <c r="F851" s="15">
        <f>_xlfn.STDEV.S(OFFSET(D851,-Описание!$B$12,0,Описание!$B$12,1))</f>
        <v/>
      </c>
      <c r="G851" s="15">
        <f>SQRT(Описание!$B$13*G850^2+(1-Описание!$B$13)*D850^2)</f>
        <v/>
      </c>
      <c r="H851" s="17">
        <f>Описание!$B$9*F851*Описание!$B$7</f>
        <v/>
      </c>
      <c r="I851" s="17">
        <f>Описание!$B$9*G851*Описание!$B$7</f>
        <v/>
      </c>
    </row>
    <row r="852">
      <c r="A852" s="13" t="n">
        <v>39938</v>
      </c>
      <c r="B852" s="14" t="n">
        <v>1.3403</v>
      </c>
      <c r="C852" t="inlineStr">
        <is>
          <t>После</t>
        </is>
      </c>
      <c r="D852" s="15">
        <f>B852/B851-1</f>
        <v/>
      </c>
      <c r="E852" s="16">
        <f>LN(B852/B851)</f>
        <v/>
      </c>
      <c r="F852" s="15">
        <f>_xlfn.STDEV.S(OFFSET(D852,-Описание!$B$12,0,Описание!$B$12,1))</f>
        <v/>
      </c>
      <c r="G852" s="15">
        <f>SQRT(Описание!$B$13*G851^2+(1-Описание!$B$13)*D851^2)</f>
        <v/>
      </c>
      <c r="H852" s="17">
        <f>Описание!$B$9*F852*Описание!$B$7</f>
        <v/>
      </c>
      <c r="I852" s="17">
        <f>Описание!$B$9*G852*Описание!$B$7</f>
        <v/>
      </c>
    </row>
    <row r="853">
      <c r="A853" s="13" t="n">
        <v>39939</v>
      </c>
      <c r="B853" s="14" t="n">
        <v>1.3322</v>
      </c>
      <c r="C853" t="inlineStr">
        <is>
          <t>После</t>
        </is>
      </c>
      <c r="D853" s="15">
        <f>B853/B852-1</f>
        <v/>
      </c>
      <c r="E853" s="16">
        <f>LN(B853/B852)</f>
        <v/>
      </c>
      <c r="F853" s="15">
        <f>_xlfn.STDEV.S(OFFSET(D853,-Описание!$B$12,0,Описание!$B$12,1))</f>
        <v/>
      </c>
      <c r="G853" s="15">
        <f>SQRT(Описание!$B$13*G852^2+(1-Описание!$B$13)*D852^2)</f>
        <v/>
      </c>
      <c r="H853" s="17">
        <f>Описание!$B$9*F853*Описание!$B$7</f>
        <v/>
      </c>
      <c r="I853" s="17">
        <f>Описание!$B$9*G853*Описание!$B$7</f>
        <v/>
      </c>
    </row>
    <row r="854">
      <c r="A854" s="13" t="n">
        <v>39940</v>
      </c>
      <c r="B854" s="14" t="n">
        <v>1.3363</v>
      </c>
      <c r="C854" t="inlineStr">
        <is>
          <t>После</t>
        </is>
      </c>
      <c r="D854" s="15">
        <f>B854/B853-1</f>
        <v/>
      </c>
      <c r="E854" s="16">
        <f>LN(B854/B853)</f>
        <v/>
      </c>
      <c r="F854" s="15">
        <f>_xlfn.STDEV.S(OFFSET(D854,-Описание!$B$12,0,Описание!$B$12,1))</f>
        <v/>
      </c>
      <c r="G854" s="15">
        <f>SQRT(Описание!$B$13*G853^2+(1-Описание!$B$13)*D853^2)</f>
        <v/>
      </c>
      <c r="H854" s="17">
        <f>Описание!$B$9*F854*Описание!$B$7</f>
        <v/>
      </c>
      <c r="I854" s="17">
        <f>Описание!$B$9*G854*Описание!$B$7</f>
        <v/>
      </c>
    </row>
    <row r="855">
      <c r="A855" s="13" t="n">
        <v>39941</v>
      </c>
      <c r="B855" s="14" t="n">
        <v>1.3425</v>
      </c>
      <c r="C855" t="inlineStr">
        <is>
          <t>После</t>
        </is>
      </c>
      <c r="D855" s="15">
        <f>B855/B854-1</f>
        <v/>
      </c>
      <c r="E855" s="16">
        <f>LN(B855/B854)</f>
        <v/>
      </c>
      <c r="F855" s="15">
        <f>_xlfn.STDEV.S(OFFSET(D855,-Описание!$B$12,0,Описание!$B$12,1))</f>
        <v/>
      </c>
      <c r="G855" s="15">
        <f>SQRT(Описание!$B$13*G854^2+(1-Описание!$B$13)*D854^2)</f>
        <v/>
      </c>
      <c r="H855" s="17">
        <f>Описание!$B$9*F855*Описание!$B$7</f>
        <v/>
      </c>
      <c r="I855" s="17">
        <f>Описание!$B$9*G855*Описание!$B$7</f>
        <v/>
      </c>
    </row>
    <row r="856">
      <c r="A856" s="13" t="n">
        <v>39944</v>
      </c>
      <c r="B856" s="14" t="n">
        <v>1.3574</v>
      </c>
      <c r="C856" t="inlineStr">
        <is>
          <t>После</t>
        </is>
      </c>
      <c r="D856" s="15">
        <f>B856/B855-1</f>
        <v/>
      </c>
      <c r="E856" s="16">
        <f>LN(B856/B855)</f>
        <v/>
      </c>
      <c r="F856" s="15">
        <f>_xlfn.STDEV.S(OFFSET(D856,-Описание!$B$12,0,Описание!$B$12,1))</f>
        <v/>
      </c>
      <c r="G856" s="15">
        <f>SQRT(Описание!$B$13*G855^2+(1-Описание!$B$13)*D855^2)</f>
        <v/>
      </c>
      <c r="H856" s="17">
        <f>Описание!$B$9*F856*Описание!$B$7</f>
        <v/>
      </c>
      <c r="I856" s="17">
        <f>Описание!$B$9*G856*Описание!$B$7</f>
        <v/>
      </c>
    </row>
    <row r="857">
      <c r="A857" s="13" t="n">
        <v>39945</v>
      </c>
      <c r="B857" s="14" t="n">
        <v>1.3683</v>
      </c>
      <c r="C857" t="inlineStr">
        <is>
          <t>После</t>
        </is>
      </c>
      <c r="D857" s="15">
        <f>B857/B856-1</f>
        <v/>
      </c>
      <c r="E857" s="16">
        <f>LN(B857/B856)</f>
        <v/>
      </c>
      <c r="F857" s="15">
        <f>_xlfn.STDEV.S(OFFSET(D857,-Описание!$B$12,0,Описание!$B$12,1))</f>
        <v/>
      </c>
      <c r="G857" s="15">
        <f>SQRT(Описание!$B$13*G856^2+(1-Описание!$B$13)*D856^2)</f>
        <v/>
      </c>
      <c r="H857" s="17">
        <f>Описание!$B$9*F857*Описание!$B$7</f>
        <v/>
      </c>
      <c r="I857" s="17">
        <f>Описание!$B$9*G857*Описание!$B$7</f>
        <v/>
      </c>
    </row>
    <row r="858">
      <c r="A858" s="13" t="n">
        <v>39946</v>
      </c>
      <c r="B858" s="14" t="n">
        <v>1.3623</v>
      </c>
      <c r="C858" t="inlineStr">
        <is>
          <t>После</t>
        </is>
      </c>
      <c r="D858" s="15">
        <f>B858/B857-1</f>
        <v/>
      </c>
      <c r="E858" s="16">
        <f>LN(B858/B857)</f>
        <v/>
      </c>
      <c r="F858" s="15">
        <f>_xlfn.STDEV.S(OFFSET(D858,-Описание!$B$12,0,Описание!$B$12,1))</f>
        <v/>
      </c>
      <c r="G858" s="15">
        <f>SQRT(Описание!$B$13*G857^2+(1-Описание!$B$13)*D857^2)</f>
        <v/>
      </c>
      <c r="H858" s="17">
        <f>Описание!$B$9*F858*Описание!$B$7</f>
        <v/>
      </c>
      <c r="I858" s="17">
        <f>Описание!$B$9*G858*Описание!$B$7</f>
        <v/>
      </c>
    </row>
    <row r="859">
      <c r="A859" s="13" t="n">
        <v>39947</v>
      </c>
      <c r="B859" s="14" t="n">
        <v>1.3563</v>
      </c>
      <c r="C859" t="inlineStr">
        <is>
          <t>После</t>
        </is>
      </c>
      <c r="D859" s="15">
        <f>B859/B858-1</f>
        <v/>
      </c>
      <c r="E859" s="16">
        <f>LN(B859/B858)</f>
        <v/>
      </c>
      <c r="F859" s="15">
        <f>_xlfn.STDEV.S(OFFSET(D859,-Описание!$B$12,0,Описание!$B$12,1))</f>
        <v/>
      </c>
      <c r="G859" s="15">
        <f>SQRT(Описание!$B$13*G858^2+(1-Описание!$B$13)*D858^2)</f>
        <v/>
      </c>
      <c r="H859" s="17">
        <f>Описание!$B$9*F859*Описание!$B$7</f>
        <v/>
      </c>
      <c r="I859" s="17">
        <f>Описание!$B$9*G859*Описание!$B$7</f>
        <v/>
      </c>
    </row>
    <row r="860">
      <c r="A860" s="13" t="n">
        <v>39948</v>
      </c>
      <c r="B860" s="14" t="n">
        <v>1.3518</v>
      </c>
      <c r="C860" t="inlineStr">
        <is>
          <t>После</t>
        </is>
      </c>
      <c r="D860" s="15">
        <f>B860/B859-1</f>
        <v/>
      </c>
      <c r="E860" s="16">
        <f>LN(B860/B859)</f>
        <v/>
      </c>
      <c r="F860" s="15">
        <f>_xlfn.STDEV.S(OFFSET(D860,-Описание!$B$12,0,Описание!$B$12,1))</f>
        <v/>
      </c>
      <c r="G860" s="15">
        <f>SQRT(Описание!$B$13*G859^2+(1-Описание!$B$13)*D859^2)</f>
        <v/>
      </c>
      <c r="H860" s="17">
        <f>Описание!$B$9*F860*Описание!$B$7</f>
        <v/>
      </c>
      <c r="I860" s="17">
        <f>Описание!$B$9*G860*Описание!$B$7</f>
        <v/>
      </c>
    </row>
    <row r="861">
      <c r="A861" s="13" t="n">
        <v>39951</v>
      </c>
      <c r="B861" s="14" t="n">
        <v>1.3494</v>
      </c>
      <c r="C861" t="inlineStr">
        <is>
          <t>После</t>
        </is>
      </c>
      <c r="D861" s="15">
        <f>B861/B860-1</f>
        <v/>
      </c>
      <c r="E861" s="16">
        <f>LN(B861/B860)</f>
        <v/>
      </c>
      <c r="F861" s="15">
        <f>_xlfn.STDEV.S(OFFSET(D861,-Описание!$B$12,0,Описание!$B$12,1))</f>
        <v/>
      </c>
      <c r="G861" s="15">
        <f>SQRT(Описание!$B$13*G860^2+(1-Описание!$B$13)*D860^2)</f>
        <v/>
      </c>
      <c r="H861" s="17">
        <f>Описание!$B$9*F861*Описание!$B$7</f>
        <v/>
      </c>
      <c r="I861" s="17">
        <f>Описание!$B$9*G861*Описание!$B$7</f>
        <v/>
      </c>
    </row>
    <row r="862">
      <c r="A862" s="13" t="n">
        <v>39952</v>
      </c>
      <c r="B862" s="14" t="n">
        <v>1.3612</v>
      </c>
      <c r="C862" t="inlineStr">
        <is>
          <t>После</t>
        </is>
      </c>
      <c r="D862" s="15">
        <f>B862/B861-1</f>
        <v/>
      </c>
      <c r="E862" s="16">
        <f>LN(B862/B861)</f>
        <v/>
      </c>
      <c r="F862" s="15">
        <f>_xlfn.STDEV.S(OFFSET(D862,-Описание!$B$12,0,Описание!$B$12,1))</f>
        <v/>
      </c>
      <c r="G862" s="15">
        <f>SQRT(Описание!$B$13*G861^2+(1-Описание!$B$13)*D861^2)</f>
        <v/>
      </c>
      <c r="H862" s="17">
        <f>Описание!$B$9*F862*Описание!$B$7</f>
        <v/>
      </c>
      <c r="I862" s="17">
        <f>Описание!$B$9*G862*Описание!$B$7</f>
        <v/>
      </c>
    </row>
    <row r="863">
      <c r="A863" s="13" t="n">
        <v>39953</v>
      </c>
      <c r="B863" s="14" t="n">
        <v>1.369</v>
      </c>
      <c r="C863" t="inlineStr">
        <is>
          <t>После</t>
        </is>
      </c>
      <c r="D863" s="15">
        <f>B863/B862-1</f>
        <v/>
      </c>
      <c r="E863" s="16">
        <f>LN(B863/B862)</f>
        <v/>
      </c>
      <c r="F863" s="15">
        <f>_xlfn.STDEV.S(OFFSET(D863,-Описание!$B$12,0,Описание!$B$12,1))</f>
        <v/>
      </c>
      <c r="G863" s="15">
        <f>SQRT(Описание!$B$13*G862^2+(1-Описание!$B$13)*D862^2)</f>
        <v/>
      </c>
      <c r="H863" s="17">
        <f>Описание!$B$9*F863*Описание!$B$7</f>
        <v/>
      </c>
      <c r="I863" s="17">
        <f>Описание!$B$9*G863*Описание!$B$7</f>
        <v/>
      </c>
    </row>
    <row r="864">
      <c r="A864" s="13" t="n">
        <v>39954</v>
      </c>
      <c r="B864" s="14" t="n">
        <v>1.3771</v>
      </c>
      <c r="C864" t="inlineStr">
        <is>
          <t>После</t>
        </is>
      </c>
      <c r="D864" s="15">
        <f>B864/B863-1</f>
        <v/>
      </c>
      <c r="E864" s="16">
        <f>LN(B864/B863)</f>
        <v/>
      </c>
      <c r="F864" s="15">
        <f>_xlfn.STDEV.S(OFFSET(D864,-Описание!$B$12,0,Описание!$B$12,1))</f>
        <v/>
      </c>
      <c r="G864" s="15">
        <f>SQRT(Описание!$B$13*G863^2+(1-Описание!$B$13)*D863^2)</f>
        <v/>
      </c>
      <c r="H864" s="17">
        <f>Описание!$B$9*F864*Описание!$B$7</f>
        <v/>
      </c>
      <c r="I864" s="17">
        <f>Описание!$B$9*G864*Описание!$B$7</f>
        <v/>
      </c>
    </row>
    <row r="865">
      <c r="A865" s="13" t="n">
        <v>39955</v>
      </c>
      <c r="B865" s="14" t="n">
        <v>1.3972</v>
      </c>
      <c r="C865" t="inlineStr">
        <is>
          <t>После</t>
        </is>
      </c>
      <c r="D865" s="15">
        <f>B865/B864-1</f>
        <v/>
      </c>
      <c r="E865" s="16">
        <f>LN(B865/B864)</f>
        <v/>
      </c>
      <c r="F865" s="15">
        <f>_xlfn.STDEV.S(OFFSET(D865,-Описание!$B$12,0,Описание!$B$12,1))</f>
        <v/>
      </c>
      <c r="G865" s="15">
        <f>SQRT(Описание!$B$13*G864^2+(1-Описание!$B$13)*D864^2)</f>
        <v/>
      </c>
      <c r="H865" s="17">
        <f>Описание!$B$9*F865*Описание!$B$7</f>
        <v/>
      </c>
      <c r="I865" s="17">
        <f>Описание!$B$9*G865*Описание!$B$7</f>
        <v/>
      </c>
    </row>
    <row r="866">
      <c r="A866" s="13" t="n">
        <v>39958</v>
      </c>
      <c r="B866" s="14" t="n">
        <v>1.401</v>
      </c>
      <c r="C866" t="inlineStr">
        <is>
          <t>После</t>
        </is>
      </c>
      <c r="D866" s="15">
        <f>B866/B865-1</f>
        <v/>
      </c>
      <c r="E866" s="16">
        <f>LN(B866/B865)</f>
        <v/>
      </c>
      <c r="F866" s="15">
        <f>_xlfn.STDEV.S(OFFSET(D866,-Описание!$B$12,0,Описание!$B$12,1))</f>
        <v/>
      </c>
      <c r="G866" s="15">
        <f>SQRT(Описание!$B$13*G865^2+(1-Описание!$B$13)*D865^2)</f>
        <v/>
      </c>
      <c r="H866" s="17">
        <f>Описание!$B$9*F866*Описание!$B$7</f>
        <v/>
      </c>
      <c r="I866" s="17">
        <f>Описание!$B$9*G866*Описание!$B$7</f>
        <v/>
      </c>
    </row>
    <row r="867">
      <c r="A867" s="13" t="n">
        <v>39959</v>
      </c>
      <c r="B867" s="14" t="n">
        <v>1.3908</v>
      </c>
      <c r="C867" t="inlineStr">
        <is>
          <t>После</t>
        </is>
      </c>
      <c r="D867" s="15">
        <f>B867/B866-1</f>
        <v/>
      </c>
      <c r="E867" s="16">
        <f>LN(B867/B866)</f>
        <v/>
      </c>
      <c r="F867" s="15">
        <f>_xlfn.STDEV.S(OFFSET(D867,-Описание!$B$12,0,Описание!$B$12,1))</f>
        <v/>
      </c>
      <c r="G867" s="15">
        <f>SQRT(Описание!$B$13*G866^2+(1-Описание!$B$13)*D866^2)</f>
        <v/>
      </c>
      <c r="H867" s="17">
        <f>Описание!$B$9*F867*Описание!$B$7</f>
        <v/>
      </c>
      <c r="I867" s="17">
        <f>Описание!$B$9*G867*Описание!$B$7</f>
        <v/>
      </c>
    </row>
    <row r="868">
      <c r="A868" s="13" t="n">
        <v>39960</v>
      </c>
      <c r="B868" s="14" t="n">
        <v>1.3901</v>
      </c>
      <c r="C868" t="inlineStr">
        <is>
          <t>После</t>
        </is>
      </c>
      <c r="D868" s="15">
        <f>B868/B867-1</f>
        <v/>
      </c>
      <c r="E868" s="16">
        <f>LN(B868/B867)</f>
        <v/>
      </c>
      <c r="F868" s="15">
        <f>_xlfn.STDEV.S(OFFSET(D868,-Описание!$B$12,0,Описание!$B$12,1))</f>
        <v/>
      </c>
      <c r="G868" s="15">
        <f>SQRT(Описание!$B$13*G867^2+(1-Описание!$B$13)*D867^2)</f>
        <v/>
      </c>
      <c r="H868" s="17">
        <f>Описание!$B$9*F868*Описание!$B$7</f>
        <v/>
      </c>
      <c r="I868" s="17">
        <f>Описание!$B$9*G868*Описание!$B$7</f>
        <v/>
      </c>
    </row>
    <row r="869">
      <c r="A869" s="13" t="n">
        <v>39961</v>
      </c>
      <c r="B869" s="14" t="n">
        <v>1.3856</v>
      </c>
      <c r="C869" t="inlineStr">
        <is>
          <t>После</t>
        </is>
      </c>
      <c r="D869" s="15">
        <f>B869/B868-1</f>
        <v/>
      </c>
      <c r="E869" s="16">
        <f>LN(B869/B868)</f>
        <v/>
      </c>
      <c r="F869" s="15">
        <f>_xlfn.STDEV.S(OFFSET(D869,-Описание!$B$12,0,Описание!$B$12,1))</f>
        <v/>
      </c>
      <c r="G869" s="15">
        <f>SQRT(Описание!$B$13*G868^2+(1-Описание!$B$13)*D868^2)</f>
        <v/>
      </c>
      <c r="H869" s="17">
        <f>Описание!$B$9*F869*Описание!$B$7</f>
        <v/>
      </c>
      <c r="I869" s="17">
        <f>Описание!$B$9*G869*Описание!$B$7</f>
        <v/>
      </c>
    </row>
    <row r="870">
      <c r="A870" s="13" t="n">
        <v>39962</v>
      </c>
      <c r="B870" s="14" t="n">
        <v>1.4098</v>
      </c>
      <c r="C870" t="inlineStr">
        <is>
          <t>После</t>
        </is>
      </c>
      <c r="D870" s="15">
        <f>B870/B869-1</f>
        <v/>
      </c>
      <c r="E870" s="16">
        <f>LN(B870/B869)</f>
        <v/>
      </c>
      <c r="F870" s="15">
        <f>_xlfn.STDEV.S(OFFSET(D870,-Описание!$B$12,0,Описание!$B$12,1))</f>
        <v/>
      </c>
      <c r="G870" s="15">
        <f>SQRT(Описание!$B$13*G869^2+(1-Описание!$B$13)*D869^2)</f>
        <v/>
      </c>
      <c r="H870" s="17">
        <f>Описание!$B$9*F870*Описание!$B$7</f>
        <v/>
      </c>
      <c r="I870" s="17">
        <f>Описание!$B$9*G870*Описание!$B$7</f>
        <v/>
      </c>
    </row>
    <row r="871">
      <c r="A871" s="13" t="n">
        <v>39965</v>
      </c>
      <c r="B871" s="14" t="n">
        <v>1.422</v>
      </c>
      <c r="C871" t="inlineStr">
        <is>
          <t>После</t>
        </is>
      </c>
      <c r="D871" s="15">
        <f>B871/B870-1</f>
        <v/>
      </c>
      <c r="E871" s="16">
        <f>LN(B871/B870)</f>
        <v/>
      </c>
      <c r="F871" s="15">
        <f>_xlfn.STDEV.S(OFFSET(D871,-Описание!$B$12,0,Описание!$B$12,1))</f>
        <v/>
      </c>
      <c r="G871" s="15">
        <f>SQRT(Описание!$B$13*G870^2+(1-Описание!$B$13)*D870^2)</f>
        <v/>
      </c>
      <c r="H871" s="17">
        <f>Описание!$B$9*F871*Описание!$B$7</f>
        <v/>
      </c>
      <c r="I871" s="17">
        <f>Описание!$B$9*G871*Описание!$B$7</f>
        <v/>
      </c>
    </row>
    <row r="872">
      <c r="A872" s="13" t="n">
        <v>39966</v>
      </c>
      <c r="B872" s="14" t="n">
        <v>1.4238</v>
      </c>
      <c r="C872" t="inlineStr">
        <is>
          <t>После</t>
        </is>
      </c>
      <c r="D872" s="15">
        <f>B872/B871-1</f>
        <v/>
      </c>
      <c r="E872" s="16">
        <f>LN(B872/B871)</f>
        <v/>
      </c>
      <c r="F872" s="15">
        <f>_xlfn.STDEV.S(OFFSET(D872,-Описание!$B$12,0,Описание!$B$12,1))</f>
        <v/>
      </c>
      <c r="G872" s="15">
        <f>SQRT(Описание!$B$13*G871^2+(1-Описание!$B$13)*D871^2)</f>
        <v/>
      </c>
      <c r="H872" s="17">
        <f>Описание!$B$9*F872*Описание!$B$7</f>
        <v/>
      </c>
      <c r="I872" s="17">
        <f>Описание!$B$9*G872*Описание!$B$7</f>
        <v/>
      </c>
    </row>
    <row r="873">
      <c r="A873" s="13" t="n">
        <v>39967</v>
      </c>
      <c r="B873" s="14" t="n">
        <v>1.4207</v>
      </c>
      <c r="C873" t="inlineStr">
        <is>
          <t>После</t>
        </is>
      </c>
      <c r="D873" s="15">
        <f>B873/B872-1</f>
        <v/>
      </c>
      <c r="E873" s="16">
        <f>LN(B873/B872)</f>
        <v/>
      </c>
      <c r="F873" s="15">
        <f>_xlfn.STDEV.S(OFFSET(D873,-Описание!$B$12,0,Описание!$B$12,1))</f>
        <v/>
      </c>
      <c r="G873" s="15">
        <f>SQRT(Описание!$B$13*G872^2+(1-Описание!$B$13)*D872^2)</f>
        <v/>
      </c>
      <c r="H873" s="17">
        <f>Описание!$B$9*F873*Описание!$B$7</f>
        <v/>
      </c>
      <c r="I873" s="17">
        <f>Описание!$B$9*G873*Описание!$B$7</f>
        <v/>
      </c>
    </row>
    <row r="874">
      <c r="A874" s="13" t="n">
        <v>39968</v>
      </c>
      <c r="B874" s="14" t="n">
        <v>1.4095</v>
      </c>
      <c r="C874" t="inlineStr">
        <is>
          <t>После</t>
        </is>
      </c>
      <c r="D874" s="15">
        <f>B874/B873-1</f>
        <v/>
      </c>
      <c r="E874" s="16">
        <f>LN(B874/B873)</f>
        <v/>
      </c>
      <c r="F874" s="15">
        <f>_xlfn.STDEV.S(OFFSET(D874,-Описание!$B$12,0,Описание!$B$12,1))</f>
        <v/>
      </c>
      <c r="G874" s="15">
        <f>SQRT(Описание!$B$13*G873^2+(1-Описание!$B$13)*D873^2)</f>
        <v/>
      </c>
      <c r="H874" s="17">
        <f>Описание!$B$9*F874*Описание!$B$7</f>
        <v/>
      </c>
      <c r="I874" s="17">
        <f>Описание!$B$9*G874*Описание!$B$7</f>
        <v/>
      </c>
    </row>
    <row r="875">
      <c r="A875" s="13" t="n">
        <v>39969</v>
      </c>
      <c r="B875" s="14" t="n">
        <v>1.4177</v>
      </c>
      <c r="C875" t="inlineStr">
        <is>
          <t>После</t>
        </is>
      </c>
      <c r="D875" s="15">
        <f>B875/B874-1</f>
        <v/>
      </c>
      <c r="E875" s="16">
        <f>LN(B875/B874)</f>
        <v/>
      </c>
      <c r="F875" s="15">
        <f>_xlfn.STDEV.S(OFFSET(D875,-Описание!$B$12,0,Описание!$B$12,1))</f>
        <v/>
      </c>
      <c r="G875" s="15">
        <f>SQRT(Описание!$B$13*G874^2+(1-Описание!$B$13)*D874^2)</f>
        <v/>
      </c>
      <c r="H875" s="17">
        <f>Описание!$B$9*F875*Описание!$B$7</f>
        <v/>
      </c>
      <c r="I875" s="17">
        <f>Описание!$B$9*G875*Описание!$B$7</f>
        <v/>
      </c>
    </row>
    <row r="876">
      <c r="A876" s="13" t="n">
        <v>39972</v>
      </c>
      <c r="B876" s="14" t="n">
        <v>1.3866</v>
      </c>
      <c r="C876" t="inlineStr">
        <is>
          <t>После</t>
        </is>
      </c>
      <c r="D876" s="15">
        <f>B876/B875-1</f>
        <v/>
      </c>
      <c r="E876" s="16">
        <f>LN(B876/B875)</f>
        <v/>
      </c>
      <c r="F876" s="15">
        <f>_xlfn.STDEV.S(OFFSET(D876,-Описание!$B$12,0,Описание!$B$12,1))</f>
        <v/>
      </c>
      <c r="G876" s="15">
        <f>SQRT(Описание!$B$13*G875^2+(1-Описание!$B$13)*D875^2)</f>
        <v/>
      </c>
      <c r="H876" s="17">
        <f>Описание!$B$9*F876*Описание!$B$7</f>
        <v/>
      </c>
      <c r="I876" s="17">
        <f>Описание!$B$9*G876*Описание!$B$7</f>
        <v/>
      </c>
    </row>
    <row r="877">
      <c r="A877" s="13" t="n">
        <v>39973</v>
      </c>
      <c r="B877" s="14" t="n">
        <v>1.3959</v>
      </c>
      <c r="C877" t="inlineStr">
        <is>
          <t>После</t>
        </is>
      </c>
      <c r="D877" s="15">
        <f>B877/B876-1</f>
        <v/>
      </c>
      <c r="E877" s="16">
        <f>LN(B877/B876)</f>
        <v/>
      </c>
      <c r="F877" s="15">
        <f>_xlfn.STDEV.S(OFFSET(D877,-Описание!$B$12,0,Описание!$B$12,1))</f>
        <v/>
      </c>
      <c r="G877" s="15">
        <f>SQRT(Описание!$B$13*G876^2+(1-Описание!$B$13)*D876^2)</f>
        <v/>
      </c>
      <c r="H877" s="17">
        <f>Описание!$B$9*F877*Описание!$B$7</f>
        <v/>
      </c>
      <c r="I877" s="17">
        <f>Описание!$B$9*G877*Описание!$B$7</f>
        <v/>
      </c>
    </row>
    <row r="878">
      <c r="A878" s="13" t="n">
        <v>39974</v>
      </c>
      <c r="B878" s="14" t="n">
        <v>1.4102</v>
      </c>
      <c r="C878" t="inlineStr">
        <is>
          <t>После</t>
        </is>
      </c>
      <c r="D878" s="15">
        <f>B878/B877-1</f>
        <v/>
      </c>
      <c r="E878" s="16">
        <f>LN(B878/B877)</f>
        <v/>
      </c>
      <c r="F878" s="15">
        <f>_xlfn.STDEV.S(OFFSET(D878,-Описание!$B$12,0,Описание!$B$12,1))</f>
        <v/>
      </c>
      <c r="G878" s="15">
        <f>SQRT(Описание!$B$13*G877^2+(1-Описание!$B$13)*D877^2)</f>
        <v/>
      </c>
      <c r="H878" s="17">
        <f>Описание!$B$9*F878*Описание!$B$7</f>
        <v/>
      </c>
      <c r="I878" s="17">
        <f>Описание!$B$9*G878*Описание!$B$7</f>
        <v/>
      </c>
    </row>
    <row r="879">
      <c r="A879" s="13" t="n">
        <v>39975</v>
      </c>
      <c r="B879" s="14" t="n">
        <v>1.3969</v>
      </c>
      <c r="C879" t="inlineStr">
        <is>
          <t>После</t>
        </is>
      </c>
      <c r="D879" s="15">
        <f>B879/B878-1</f>
        <v/>
      </c>
      <c r="E879" s="16">
        <f>LN(B879/B878)</f>
        <v/>
      </c>
      <c r="F879" s="15">
        <f>_xlfn.STDEV.S(OFFSET(D879,-Описание!$B$12,0,Описание!$B$12,1))</f>
        <v/>
      </c>
      <c r="G879" s="15">
        <f>SQRT(Описание!$B$13*G878^2+(1-Описание!$B$13)*D878^2)</f>
        <v/>
      </c>
      <c r="H879" s="17">
        <f>Описание!$B$9*F879*Описание!$B$7</f>
        <v/>
      </c>
      <c r="I879" s="17">
        <f>Описание!$B$9*G879*Описание!$B$7</f>
        <v/>
      </c>
    </row>
    <row r="880">
      <c r="A880" s="13" t="n">
        <v>39976</v>
      </c>
      <c r="B880" s="14" t="n">
        <v>1.4004</v>
      </c>
      <c r="C880" t="inlineStr">
        <is>
          <t>После</t>
        </is>
      </c>
      <c r="D880" s="15">
        <f>B880/B879-1</f>
        <v/>
      </c>
      <c r="E880" s="16">
        <f>LN(B880/B879)</f>
        <v/>
      </c>
      <c r="F880" s="15">
        <f>_xlfn.STDEV.S(OFFSET(D880,-Описание!$B$12,0,Описание!$B$12,1))</f>
        <v/>
      </c>
      <c r="G880" s="15">
        <f>SQRT(Описание!$B$13*G879^2+(1-Описание!$B$13)*D879^2)</f>
        <v/>
      </c>
      <c r="H880" s="17">
        <f>Описание!$B$9*F880*Описание!$B$7</f>
        <v/>
      </c>
      <c r="I880" s="17">
        <f>Описание!$B$9*G880*Описание!$B$7</f>
        <v/>
      </c>
    </row>
    <row r="881">
      <c r="A881" s="13" t="n">
        <v>39979</v>
      </c>
      <c r="B881" s="14" t="n">
        <v>1.385</v>
      </c>
      <c r="C881" t="inlineStr">
        <is>
          <t>После</t>
        </is>
      </c>
      <c r="D881" s="15">
        <f>B881/B880-1</f>
        <v/>
      </c>
      <c r="E881" s="16">
        <f>LN(B881/B880)</f>
        <v/>
      </c>
      <c r="F881" s="15">
        <f>_xlfn.STDEV.S(OFFSET(D881,-Описание!$B$12,0,Описание!$B$12,1))</f>
        <v/>
      </c>
      <c r="G881" s="15">
        <f>SQRT(Описание!$B$13*G880^2+(1-Описание!$B$13)*D880^2)</f>
        <v/>
      </c>
      <c r="H881" s="17">
        <f>Описание!$B$9*F881*Описание!$B$7</f>
        <v/>
      </c>
      <c r="I881" s="17">
        <f>Описание!$B$9*G881*Описание!$B$7</f>
        <v/>
      </c>
    </row>
    <row r="882">
      <c r="A882" s="13" t="n">
        <v>39980</v>
      </c>
      <c r="B882" s="14" t="n">
        <v>1.389</v>
      </c>
      <c r="C882" t="inlineStr">
        <is>
          <t>После</t>
        </is>
      </c>
      <c r="D882" s="15">
        <f>B882/B881-1</f>
        <v/>
      </c>
      <c r="E882" s="16">
        <f>LN(B882/B881)</f>
        <v/>
      </c>
      <c r="F882" s="15">
        <f>_xlfn.STDEV.S(OFFSET(D882,-Описание!$B$12,0,Описание!$B$12,1))</f>
        <v/>
      </c>
      <c r="G882" s="15">
        <f>SQRT(Описание!$B$13*G881^2+(1-Описание!$B$13)*D881^2)</f>
        <v/>
      </c>
      <c r="H882" s="17">
        <f>Описание!$B$9*F882*Описание!$B$7</f>
        <v/>
      </c>
      <c r="I882" s="17">
        <f>Описание!$B$9*G882*Описание!$B$7</f>
        <v/>
      </c>
    </row>
    <row r="883">
      <c r="A883" s="13" t="n">
        <v>39981</v>
      </c>
      <c r="B883" s="14" t="n">
        <v>1.384</v>
      </c>
      <c r="C883" t="inlineStr">
        <is>
          <t>После</t>
        </is>
      </c>
      <c r="D883" s="15">
        <f>B883/B882-1</f>
        <v/>
      </c>
      <c r="E883" s="16">
        <f>LN(B883/B882)</f>
        <v/>
      </c>
      <c r="F883" s="15">
        <f>_xlfn.STDEV.S(OFFSET(D883,-Описание!$B$12,0,Описание!$B$12,1))</f>
        <v/>
      </c>
      <c r="G883" s="15">
        <f>SQRT(Описание!$B$13*G882^2+(1-Описание!$B$13)*D882^2)</f>
        <v/>
      </c>
      <c r="H883" s="17">
        <f>Описание!$B$9*F883*Описание!$B$7</f>
        <v/>
      </c>
      <c r="I883" s="17">
        <f>Описание!$B$9*G883*Описание!$B$7</f>
        <v/>
      </c>
    </row>
    <row r="884">
      <c r="A884" s="13" t="n">
        <v>39982</v>
      </c>
      <c r="B884" s="14" t="n">
        <v>1.392</v>
      </c>
      <c r="C884" t="inlineStr">
        <is>
          <t>После</t>
        </is>
      </c>
      <c r="D884" s="15">
        <f>B884/B883-1</f>
        <v/>
      </c>
      <c r="E884" s="16">
        <f>LN(B884/B883)</f>
        <v/>
      </c>
      <c r="F884" s="15">
        <f>_xlfn.STDEV.S(OFFSET(D884,-Описание!$B$12,0,Описание!$B$12,1))</f>
        <v/>
      </c>
      <c r="G884" s="15">
        <f>SQRT(Описание!$B$13*G883^2+(1-Описание!$B$13)*D883^2)</f>
        <v/>
      </c>
      <c r="H884" s="17">
        <f>Описание!$B$9*F884*Описание!$B$7</f>
        <v/>
      </c>
      <c r="I884" s="17">
        <f>Описание!$B$9*G884*Описание!$B$7</f>
        <v/>
      </c>
    </row>
    <row r="885">
      <c r="A885" s="13" t="n">
        <v>39983</v>
      </c>
      <c r="B885" s="14" t="n">
        <v>1.3932</v>
      </c>
      <c r="C885" t="inlineStr">
        <is>
          <t>После</t>
        </is>
      </c>
      <c r="D885" s="15">
        <f>B885/B884-1</f>
        <v/>
      </c>
      <c r="E885" s="16">
        <f>LN(B885/B884)</f>
        <v/>
      </c>
      <c r="F885" s="15">
        <f>_xlfn.STDEV.S(OFFSET(D885,-Описание!$B$12,0,Описание!$B$12,1))</f>
        <v/>
      </c>
      <c r="G885" s="15">
        <f>SQRT(Описание!$B$13*G884^2+(1-Описание!$B$13)*D884^2)</f>
        <v/>
      </c>
      <c r="H885" s="17">
        <f>Описание!$B$9*F885*Описание!$B$7</f>
        <v/>
      </c>
      <c r="I885" s="17">
        <f>Описание!$B$9*G885*Описание!$B$7</f>
        <v/>
      </c>
    </row>
    <row r="886">
      <c r="A886" s="13" t="n">
        <v>39986</v>
      </c>
      <c r="B886" s="14" t="n">
        <v>1.3858</v>
      </c>
      <c r="C886" t="inlineStr">
        <is>
          <t>После</t>
        </is>
      </c>
      <c r="D886" s="15">
        <f>B886/B885-1</f>
        <v/>
      </c>
      <c r="E886" s="16">
        <f>LN(B886/B885)</f>
        <v/>
      </c>
      <c r="F886" s="15">
        <f>_xlfn.STDEV.S(OFFSET(D886,-Описание!$B$12,0,Описание!$B$12,1))</f>
        <v/>
      </c>
      <c r="G886" s="15">
        <f>SQRT(Описание!$B$13*G885^2+(1-Описание!$B$13)*D885^2)</f>
        <v/>
      </c>
      <c r="H886" s="17">
        <f>Описание!$B$9*F886*Описание!$B$7</f>
        <v/>
      </c>
      <c r="I886" s="17">
        <f>Описание!$B$9*G886*Описание!$B$7</f>
        <v/>
      </c>
    </row>
    <row r="887">
      <c r="A887" s="13" t="n">
        <v>39987</v>
      </c>
      <c r="B887" s="14" t="n">
        <v>1.3978</v>
      </c>
      <c r="C887" t="inlineStr">
        <is>
          <t>После</t>
        </is>
      </c>
      <c r="D887" s="15">
        <f>B887/B886-1</f>
        <v/>
      </c>
      <c r="E887" s="16">
        <f>LN(B887/B886)</f>
        <v/>
      </c>
      <c r="F887" s="15">
        <f>_xlfn.STDEV.S(OFFSET(D887,-Описание!$B$12,0,Описание!$B$12,1))</f>
        <v/>
      </c>
      <c r="G887" s="15">
        <f>SQRT(Описание!$B$13*G886^2+(1-Описание!$B$13)*D886^2)</f>
        <v/>
      </c>
      <c r="H887" s="17">
        <f>Описание!$B$9*F887*Описание!$B$7</f>
        <v/>
      </c>
      <c r="I887" s="17">
        <f>Описание!$B$9*G887*Описание!$B$7</f>
        <v/>
      </c>
    </row>
    <row r="888">
      <c r="A888" s="13" t="n">
        <v>39988</v>
      </c>
      <c r="B888" s="14" t="n">
        <v>1.4029</v>
      </c>
      <c r="C888" t="inlineStr">
        <is>
          <t>После</t>
        </is>
      </c>
      <c r="D888" s="15">
        <f>B888/B887-1</f>
        <v/>
      </c>
      <c r="E888" s="16">
        <f>LN(B888/B887)</f>
        <v/>
      </c>
      <c r="F888" s="15">
        <f>_xlfn.STDEV.S(OFFSET(D888,-Описание!$B$12,0,Описание!$B$12,1))</f>
        <v/>
      </c>
      <c r="G888" s="15">
        <f>SQRT(Описание!$B$13*G887^2+(1-Описание!$B$13)*D887^2)</f>
        <v/>
      </c>
      <c r="H888" s="17">
        <f>Описание!$B$9*F888*Описание!$B$7</f>
        <v/>
      </c>
      <c r="I888" s="17">
        <f>Описание!$B$9*G888*Описание!$B$7</f>
        <v/>
      </c>
    </row>
    <row r="889">
      <c r="A889" s="13" t="n">
        <v>39989</v>
      </c>
      <c r="B889" s="14" t="n">
        <v>1.394</v>
      </c>
      <c r="C889" t="inlineStr">
        <is>
          <t>После</t>
        </is>
      </c>
      <c r="D889" s="15">
        <f>B889/B888-1</f>
        <v/>
      </c>
      <c r="E889" s="16">
        <f>LN(B889/B888)</f>
        <v/>
      </c>
      <c r="F889" s="15">
        <f>_xlfn.STDEV.S(OFFSET(D889,-Описание!$B$12,0,Описание!$B$12,1))</f>
        <v/>
      </c>
      <c r="G889" s="15">
        <f>SQRT(Описание!$B$13*G888^2+(1-Описание!$B$13)*D888^2)</f>
        <v/>
      </c>
      <c r="H889" s="17">
        <f>Описание!$B$9*F889*Описание!$B$7</f>
        <v/>
      </c>
      <c r="I889" s="17">
        <f>Описание!$B$9*G889*Описание!$B$7</f>
        <v/>
      </c>
    </row>
    <row r="890">
      <c r="A890" s="13" t="n">
        <v>39990</v>
      </c>
      <c r="B890" s="14" t="n">
        <v>1.4096</v>
      </c>
      <c r="C890" t="inlineStr">
        <is>
          <t>После</t>
        </is>
      </c>
      <c r="D890" s="15">
        <f>B890/B889-1</f>
        <v/>
      </c>
      <c r="E890" s="16">
        <f>LN(B890/B889)</f>
        <v/>
      </c>
      <c r="F890" s="15">
        <f>_xlfn.STDEV.S(OFFSET(D890,-Описание!$B$12,0,Описание!$B$12,1))</f>
        <v/>
      </c>
      <c r="G890" s="15">
        <f>SQRT(Описание!$B$13*G889^2+(1-Описание!$B$13)*D889^2)</f>
        <v/>
      </c>
      <c r="H890" s="17">
        <f>Описание!$B$9*F890*Описание!$B$7</f>
        <v/>
      </c>
      <c r="I890" s="17">
        <f>Описание!$B$9*G890*Описание!$B$7</f>
        <v/>
      </c>
    </row>
    <row r="891">
      <c r="A891" s="13" t="n">
        <v>39993</v>
      </c>
      <c r="B891" s="14" t="n">
        <v>1.4058</v>
      </c>
      <c r="C891" t="inlineStr">
        <is>
          <t>После</t>
        </is>
      </c>
      <c r="D891" s="15">
        <f>B891/B890-1</f>
        <v/>
      </c>
      <c r="E891" s="16">
        <f>LN(B891/B890)</f>
        <v/>
      </c>
      <c r="F891" s="15">
        <f>_xlfn.STDEV.S(OFFSET(D891,-Описание!$B$12,0,Описание!$B$12,1))</f>
        <v/>
      </c>
      <c r="G891" s="15">
        <f>SQRT(Описание!$B$13*G890^2+(1-Описание!$B$13)*D890^2)</f>
        <v/>
      </c>
      <c r="H891" s="17">
        <f>Описание!$B$9*F891*Описание!$B$7</f>
        <v/>
      </c>
      <c r="I891" s="17">
        <f>Описание!$B$9*G891*Описание!$B$7</f>
        <v/>
      </c>
    </row>
    <row r="892">
      <c r="A892" s="13" t="n">
        <v>39994</v>
      </c>
      <c r="B892" s="14" t="n">
        <v>1.4134</v>
      </c>
      <c r="C892" t="inlineStr">
        <is>
          <t>После</t>
        </is>
      </c>
      <c r="D892" s="15">
        <f>B892/B891-1</f>
        <v/>
      </c>
      <c r="E892" s="16">
        <f>LN(B892/B891)</f>
        <v/>
      </c>
      <c r="F892" s="15">
        <f>_xlfn.STDEV.S(OFFSET(D892,-Описание!$B$12,0,Описание!$B$12,1))</f>
        <v/>
      </c>
      <c r="G892" s="15">
        <f>SQRT(Описание!$B$13*G891^2+(1-Описание!$B$13)*D891^2)</f>
        <v/>
      </c>
      <c r="H892" s="17">
        <f>Описание!$B$9*F892*Описание!$B$7</f>
        <v/>
      </c>
      <c r="I892" s="17">
        <f>Описание!$B$9*G892*Описание!$B$7</f>
        <v/>
      </c>
    </row>
    <row r="893">
      <c r="A893" s="13" t="n">
        <v>39995</v>
      </c>
      <c r="B893" s="14" t="n">
        <v>1.4096</v>
      </c>
      <c r="C893" t="inlineStr">
        <is>
          <t>После</t>
        </is>
      </c>
      <c r="D893" s="15">
        <f>B893/B892-1</f>
        <v/>
      </c>
      <c r="E893" s="16">
        <f>LN(B893/B892)</f>
        <v/>
      </c>
      <c r="F893" s="15">
        <f>_xlfn.STDEV.S(OFFSET(D893,-Описание!$B$12,0,Описание!$B$12,1))</f>
        <v/>
      </c>
      <c r="G893" s="15">
        <f>SQRT(Описание!$B$13*G892^2+(1-Описание!$B$13)*D892^2)</f>
        <v/>
      </c>
      <c r="H893" s="17">
        <f>Описание!$B$9*F893*Описание!$B$7</f>
        <v/>
      </c>
      <c r="I893" s="17">
        <f>Описание!$B$9*G893*Описание!$B$7</f>
        <v/>
      </c>
    </row>
    <row r="894">
      <c r="A894" s="13" t="n">
        <v>39996</v>
      </c>
      <c r="B894" s="14" t="n">
        <v>1.4049</v>
      </c>
      <c r="C894" t="inlineStr">
        <is>
          <t>После</t>
        </is>
      </c>
      <c r="D894" s="15">
        <f>B894/B893-1</f>
        <v/>
      </c>
      <c r="E894" s="16">
        <f>LN(B894/B893)</f>
        <v/>
      </c>
      <c r="F894" s="15">
        <f>_xlfn.STDEV.S(OFFSET(D894,-Описание!$B$12,0,Описание!$B$12,1))</f>
        <v/>
      </c>
      <c r="G894" s="15">
        <f>SQRT(Описание!$B$13*G893^2+(1-Описание!$B$13)*D893^2)</f>
        <v/>
      </c>
      <c r="H894" s="17">
        <f>Описание!$B$9*F894*Описание!$B$7</f>
        <v/>
      </c>
      <c r="I894" s="17">
        <f>Описание!$B$9*G894*Описание!$B$7</f>
        <v/>
      </c>
    </row>
    <row r="895">
      <c r="A895" s="13" t="n">
        <v>39997</v>
      </c>
      <c r="B895" s="14" t="n">
        <v>1.4009</v>
      </c>
      <c r="C895" t="inlineStr">
        <is>
          <t>После</t>
        </is>
      </c>
      <c r="D895" s="15">
        <f>B895/B894-1</f>
        <v/>
      </c>
      <c r="E895" s="16">
        <f>LN(B895/B894)</f>
        <v/>
      </c>
      <c r="F895" s="15">
        <f>_xlfn.STDEV.S(OFFSET(D895,-Описание!$B$12,0,Описание!$B$12,1))</f>
        <v/>
      </c>
      <c r="G895" s="15">
        <f>SQRT(Описание!$B$13*G894^2+(1-Описание!$B$13)*D894^2)</f>
        <v/>
      </c>
      <c r="H895" s="17">
        <f>Описание!$B$9*F895*Описание!$B$7</f>
        <v/>
      </c>
      <c r="I895" s="17">
        <f>Описание!$B$9*G895*Описание!$B$7</f>
        <v/>
      </c>
    </row>
    <row r="896">
      <c r="A896" s="13" t="n">
        <v>40000</v>
      </c>
      <c r="B896" s="14" t="n">
        <v>1.3897</v>
      </c>
      <c r="C896" t="inlineStr">
        <is>
          <t>После</t>
        </is>
      </c>
      <c r="D896" s="15">
        <f>B896/B895-1</f>
        <v/>
      </c>
      <c r="E896" s="16">
        <f>LN(B896/B895)</f>
        <v/>
      </c>
      <c r="F896" s="15">
        <f>_xlfn.STDEV.S(OFFSET(D896,-Описание!$B$12,0,Описание!$B$12,1))</f>
        <v/>
      </c>
      <c r="G896" s="15">
        <f>SQRT(Описание!$B$13*G895^2+(1-Описание!$B$13)*D895^2)</f>
        <v/>
      </c>
      <c r="H896" s="17">
        <f>Описание!$B$9*F896*Описание!$B$7</f>
        <v/>
      </c>
      <c r="I896" s="17">
        <f>Описание!$B$9*G896*Описание!$B$7</f>
        <v/>
      </c>
    </row>
    <row r="897">
      <c r="A897" s="13" t="n">
        <v>40001</v>
      </c>
      <c r="B897" s="14" t="n">
        <v>1.4019</v>
      </c>
      <c r="C897" t="inlineStr">
        <is>
          <t>После</t>
        </is>
      </c>
      <c r="D897" s="15">
        <f>B897/B896-1</f>
        <v/>
      </c>
      <c r="E897" s="16">
        <f>LN(B897/B896)</f>
        <v/>
      </c>
      <c r="F897" s="15">
        <f>_xlfn.STDEV.S(OFFSET(D897,-Описание!$B$12,0,Описание!$B$12,1))</f>
        <v/>
      </c>
      <c r="G897" s="15">
        <f>SQRT(Описание!$B$13*G896^2+(1-Описание!$B$13)*D896^2)</f>
        <v/>
      </c>
      <c r="H897" s="17">
        <f>Описание!$B$9*F897*Описание!$B$7</f>
        <v/>
      </c>
      <c r="I897" s="17">
        <f>Описание!$B$9*G897*Описание!$B$7</f>
        <v/>
      </c>
    </row>
    <row r="898">
      <c r="A898" s="13" t="n">
        <v>40002</v>
      </c>
      <c r="B898" s="14" t="n">
        <v>1.3901</v>
      </c>
      <c r="C898" t="inlineStr">
        <is>
          <t>После</t>
        </is>
      </c>
      <c r="D898" s="15">
        <f>B898/B897-1</f>
        <v/>
      </c>
      <c r="E898" s="16">
        <f>LN(B898/B897)</f>
        <v/>
      </c>
      <c r="F898" s="15">
        <f>_xlfn.STDEV.S(OFFSET(D898,-Описание!$B$12,0,Описание!$B$12,1))</f>
        <v/>
      </c>
      <c r="G898" s="15">
        <f>SQRT(Описание!$B$13*G897^2+(1-Описание!$B$13)*D897^2)</f>
        <v/>
      </c>
      <c r="H898" s="17">
        <f>Описание!$B$9*F898*Описание!$B$7</f>
        <v/>
      </c>
      <c r="I898" s="17">
        <f>Описание!$B$9*G898*Описание!$B$7</f>
        <v/>
      </c>
    </row>
    <row r="899">
      <c r="A899" s="13" t="n">
        <v>40003</v>
      </c>
      <c r="B899" s="14" t="n">
        <v>1.399</v>
      </c>
      <c r="C899" t="inlineStr">
        <is>
          <t>После</t>
        </is>
      </c>
      <c r="D899" s="15">
        <f>B899/B898-1</f>
        <v/>
      </c>
      <c r="E899" s="16">
        <f>LN(B899/B898)</f>
        <v/>
      </c>
      <c r="F899" s="15">
        <f>_xlfn.STDEV.S(OFFSET(D899,-Описание!$B$12,0,Описание!$B$12,1))</f>
        <v/>
      </c>
      <c r="G899" s="15">
        <f>SQRT(Описание!$B$13*G898^2+(1-Описание!$B$13)*D898^2)</f>
        <v/>
      </c>
      <c r="H899" s="17">
        <f>Описание!$B$9*F899*Описание!$B$7</f>
        <v/>
      </c>
      <c r="I899" s="17">
        <f>Описание!$B$9*G899*Описание!$B$7</f>
        <v/>
      </c>
    </row>
    <row r="900">
      <c r="A900" s="13" t="n">
        <v>40004</v>
      </c>
      <c r="B900" s="14" t="n">
        <v>1.3901</v>
      </c>
      <c r="C900" t="inlineStr">
        <is>
          <t>После</t>
        </is>
      </c>
      <c r="D900" s="15">
        <f>B900/B899-1</f>
        <v/>
      </c>
      <c r="E900" s="16">
        <f>LN(B900/B899)</f>
        <v/>
      </c>
      <c r="F900" s="15">
        <f>_xlfn.STDEV.S(OFFSET(D900,-Описание!$B$12,0,Описание!$B$12,1))</f>
        <v/>
      </c>
      <c r="G900" s="15">
        <f>SQRT(Описание!$B$13*G899^2+(1-Описание!$B$13)*D899^2)</f>
        <v/>
      </c>
      <c r="H900" s="17">
        <f>Описание!$B$9*F900*Описание!$B$7</f>
        <v/>
      </c>
      <c r="I900" s="17">
        <f>Описание!$B$9*G900*Описание!$B$7</f>
        <v/>
      </c>
    </row>
    <row r="901">
      <c r="A901" s="13" t="n">
        <v>40007</v>
      </c>
      <c r="B901" s="14" t="n">
        <v>1.3975</v>
      </c>
      <c r="C901" t="inlineStr">
        <is>
          <t>После</t>
        </is>
      </c>
      <c r="D901" s="15">
        <f>B901/B900-1</f>
        <v/>
      </c>
      <c r="E901" s="16">
        <f>LN(B901/B900)</f>
        <v/>
      </c>
      <c r="F901" s="15">
        <f>_xlfn.STDEV.S(OFFSET(D901,-Описание!$B$12,0,Описание!$B$12,1))</f>
        <v/>
      </c>
      <c r="G901" s="15">
        <f>SQRT(Описание!$B$13*G900^2+(1-Описание!$B$13)*D900^2)</f>
        <v/>
      </c>
      <c r="H901" s="17">
        <f>Описание!$B$9*F901*Описание!$B$7</f>
        <v/>
      </c>
      <c r="I901" s="17">
        <f>Описание!$B$9*G901*Описание!$B$7</f>
        <v/>
      </c>
    </row>
    <row r="902">
      <c r="A902" s="13" t="n">
        <v>40008</v>
      </c>
      <c r="B902" s="14" t="n">
        <v>1.3991</v>
      </c>
      <c r="C902" t="inlineStr">
        <is>
          <t>После</t>
        </is>
      </c>
      <c r="D902" s="15">
        <f>B902/B901-1</f>
        <v/>
      </c>
      <c r="E902" s="16">
        <f>LN(B902/B901)</f>
        <v/>
      </c>
      <c r="F902" s="15">
        <f>_xlfn.STDEV.S(OFFSET(D902,-Описание!$B$12,0,Описание!$B$12,1))</f>
        <v/>
      </c>
      <c r="G902" s="15">
        <f>SQRT(Описание!$B$13*G901^2+(1-Описание!$B$13)*D901^2)</f>
        <v/>
      </c>
      <c r="H902" s="17">
        <f>Описание!$B$9*F902*Описание!$B$7</f>
        <v/>
      </c>
      <c r="I902" s="17">
        <f>Описание!$B$9*G902*Описание!$B$7</f>
        <v/>
      </c>
    </row>
    <row r="903">
      <c r="A903" s="13" t="n">
        <v>40009</v>
      </c>
      <c r="B903" s="14" t="n">
        <v>1.4089</v>
      </c>
      <c r="C903" t="inlineStr">
        <is>
          <t>После</t>
        </is>
      </c>
      <c r="D903" s="15">
        <f>B903/B902-1</f>
        <v/>
      </c>
      <c r="E903" s="16">
        <f>LN(B903/B902)</f>
        <v/>
      </c>
      <c r="F903" s="15">
        <f>_xlfn.STDEV.S(OFFSET(D903,-Описание!$B$12,0,Описание!$B$12,1))</f>
        <v/>
      </c>
      <c r="G903" s="15">
        <f>SQRT(Описание!$B$13*G902^2+(1-Описание!$B$13)*D902^2)</f>
        <v/>
      </c>
      <c r="H903" s="17">
        <f>Описание!$B$9*F903*Описание!$B$7</f>
        <v/>
      </c>
      <c r="I903" s="17">
        <f>Описание!$B$9*G903*Описание!$B$7</f>
        <v/>
      </c>
    </row>
    <row r="904">
      <c r="A904" s="13" t="n">
        <v>40010</v>
      </c>
      <c r="B904" s="14" t="n">
        <v>1.413</v>
      </c>
      <c r="C904" t="inlineStr">
        <is>
          <t>После</t>
        </is>
      </c>
      <c r="D904" s="15">
        <f>B904/B903-1</f>
        <v/>
      </c>
      <c r="E904" s="16">
        <f>LN(B904/B903)</f>
        <v/>
      </c>
      <c r="F904" s="15">
        <f>_xlfn.STDEV.S(OFFSET(D904,-Описание!$B$12,0,Описание!$B$12,1))</f>
        <v/>
      </c>
      <c r="G904" s="15">
        <f>SQRT(Описание!$B$13*G903^2+(1-Описание!$B$13)*D903^2)</f>
        <v/>
      </c>
      <c r="H904" s="17">
        <f>Описание!$B$9*F904*Описание!$B$7</f>
        <v/>
      </c>
      <c r="I904" s="17">
        <f>Описание!$B$9*G904*Описание!$B$7</f>
        <v/>
      </c>
    </row>
    <row r="905">
      <c r="A905" s="13" t="n">
        <v>40011</v>
      </c>
      <c r="B905" s="14" t="n">
        <v>1.409</v>
      </c>
      <c r="C905" t="inlineStr">
        <is>
          <t>После</t>
        </is>
      </c>
      <c r="D905" s="15">
        <f>B905/B904-1</f>
        <v/>
      </c>
      <c r="E905" s="16">
        <f>LN(B905/B904)</f>
        <v/>
      </c>
      <c r="F905" s="15">
        <f>_xlfn.STDEV.S(OFFSET(D905,-Описание!$B$12,0,Описание!$B$12,1))</f>
        <v/>
      </c>
      <c r="G905" s="15">
        <f>SQRT(Описание!$B$13*G904^2+(1-Описание!$B$13)*D904^2)</f>
        <v/>
      </c>
      <c r="H905" s="17">
        <f>Описание!$B$9*F905*Описание!$B$7</f>
        <v/>
      </c>
      <c r="I905" s="17">
        <f>Описание!$B$9*G905*Описание!$B$7</f>
        <v/>
      </c>
    </row>
    <row r="906">
      <c r="A906" s="13" t="n">
        <v>40014</v>
      </c>
      <c r="B906" s="14" t="n">
        <v>1.4217</v>
      </c>
      <c r="C906" t="inlineStr">
        <is>
          <t>После</t>
        </is>
      </c>
      <c r="D906" s="15">
        <f>B906/B905-1</f>
        <v/>
      </c>
      <c r="E906" s="16">
        <f>LN(B906/B905)</f>
        <v/>
      </c>
      <c r="F906" s="15">
        <f>_xlfn.STDEV.S(OFFSET(D906,-Описание!$B$12,0,Описание!$B$12,1))</f>
        <v/>
      </c>
      <c r="G906" s="15">
        <f>SQRT(Описание!$B$13*G905^2+(1-Описание!$B$13)*D905^2)</f>
        <v/>
      </c>
      <c r="H906" s="17">
        <f>Описание!$B$9*F906*Описание!$B$7</f>
        <v/>
      </c>
      <c r="I906" s="17">
        <f>Описание!$B$9*G906*Описание!$B$7</f>
        <v/>
      </c>
    </row>
    <row r="907">
      <c r="A907" s="13" t="n">
        <v>40015</v>
      </c>
      <c r="B907" s="14" t="n">
        <v>1.4223</v>
      </c>
      <c r="C907" t="inlineStr">
        <is>
          <t>После</t>
        </is>
      </c>
      <c r="D907" s="15">
        <f>B907/B906-1</f>
        <v/>
      </c>
      <c r="E907" s="16">
        <f>LN(B907/B906)</f>
        <v/>
      </c>
      <c r="F907" s="15">
        <f>_xlfn.STDEV.S(OFFSET(D907,-Описание!$B$12,0,Описание!$B$12,1))</f>
        <v/>
      </c>
      <c r="G907" s="15">
        <f>SQRT(Описание!$B$13*G906^2+(1-Описание!$B$13)*D906^2)</f>
        <v/>
      </c>
      <c r="H907" s="17">
        <f>Описание!$B$9*F907*Описание!$B$7</f>
        <v/>
      </c>
      <c r="I907" s="17">
        <f>Описание!$B$9*G907*Описание!$B$7</f>
        <v/>
      </c>
    </row>
    <row r="908">
      <c r="A908" s="13" t="n">
        <v>40016</v>
      </c>
      <c r="B908" s="14" t="n">
        <v>1.4191</v>
      </c>
      <c r="C908" t="inlineStr">
        <is>
          <t>После</t>
        </is>
      </c>
      <c r="D908" s="15">
        <f>B908/B907-1</f>
        <v/>
      </c>
      <c r="E908" s="16">
        <f>LN(B908/B907)</f>
        <v/>
      </c>
      <c r="F908" s="15">
        <f>_xlfn.STDEV.S(OFFSET(D908,-Описание!$B$12,0,Описание!$B$12,1))</f>
        <v/>
      </c>
      <c r="G908" s="15">
        <f>SQRT(Описание!$B$13*G907^2+(1-Описание!$B$13)*D907^2)</f>
        <v/>
      </c>
      <c r="H908" s="17">
        <f>Описание!$B$9*F908*Описание!$B$7</f>
        <v/>
      </c>
      <c r="I908" s="17">
        <f>Описание!$B$9*G908*Описание!$B$7</f>
        <v/>
      </c>
    </row>
    <row r="909">
      <c r="A909" s="13" t="n">
        <v>40017</v>
      </c>
      <c r="B909" s="14" t="n">
        <v>1.4229</v>
      </c>
      <c r="C909" t="inlineStr">
        <is>
          <t>После</t>
        </is>
      </c>
      <c r="D909" s="15">
        <f>B909/B908-1</f>
        <v/>
      </c>
      <c r="E909" s="16">
        <f>LN(B909/B908)</f>
        <v/>
      </c>
      <c r="F909" s="15">
        <f>_xlfn.STDEV.S(OFFSET(D909,-Описание!$B$12,0,Описание!$B$12,1))</f>
        <v/>
      </c>
      <c r="G909" s="15">
        <f>SQRT(Описание!$B$13*G908^2+(1-Описание!$B$13)*D908^2)</f>
        <v/>
      </c>
      <c r="H909" s="17">
        <f>Описание!$B$9*F909*Описание!$B$7</f>
        <v/>
      </c>
      <c r="I909" s="17">
        <f>Описание!$B$9*G909*Описание!$B$7</f>
        <v/>
      </c>
    </row>
    <row r="910">
      <c r="A910" s="13" t="n">
        <v>40018</v>
      </c>
      <c r="B910" s="14" t="n">
        <v>1.4227</v>
      </c>
      <c r="C910" t="inlineStr">
        <is>
          <t>После</t>
        </is>
      </c>
      <c r="D910" s="15">
        <f>B910/B909-1</f>
        <v/>
      </c>
      <c r="E910" s="16">
        <f>LN(B910/B909)</f>
        <v/>
      </c>
      <c r="F910" s="15">
        <f>_xlfn.STDEV.S(OFFSET(D910,-Описание!$B$12,0,Описание!$B$12,1))</f>
        <v/>
      </c>
      <c r="G910" s="15">
        <f>SQRT(Описание!$B$13*G909^2+(1-Описание!$B$13)*D909^2)</f>
        <v/>
      </c>
      <c r="H910" s="17">
        <f>Описание!$B$9*F910*Описание!$B$7</f>
        <v/>
      </c>
      <c r="I910" s="17">
        <f>Описание!$B$9*G910*Описание!$B$7</f>
        <v/>
      </c>
    </row>
    <row r="911">
      <c r="A911" s="13" t="n">
        <v>40021</v>
      </c>
      <c r="B911" s="14" t="n">
        <v>1.4269</v>
      </c>
      <c r="C911" t="inlineStr">
        <is>
          <t>После</t>
        </is>
      </c>
      <c r="D911" s="15">
        <f>B911/B910-1</f>
        <v/>
      </c>
      <c r="E911" s="16">
        <f>LN(B911/B910)</f>
        <v/>
      </c>
      <c r="F911" s="15">
        <f>_xlfn.STDEV.S(OFFSET(D911,-Описание!$B$12,0,Описание!$B$12,1))</f>
        <v/>
      </c>
      <c r="G911" s="15">
        <f>SQRT(Описание!$B$13*G910^2+(1-Описание!$B$13)*D910^2)</f>
        <v/>
      </c>
      <c r="H911" s="17">
        <f>Описание!$B$9*F911*Описание!$B$7</f>
        <v/>
      </c>
      <c r="I911" s="17">
        <f>Описание!$B$9*G911*Описание!$B$7</f>
        <v/>
      </c>
    </row>
    <row r="912">
      <c r="A912" s="13" t="n">
        <v>40022</v>
      </c>
      <c r="B912" s="14" t="n">
        <v>1.4229</v>
      </c>
      <c r="C912" t="inlineStr">
        <is>
          <t>После</t>
        </is>
      </c>
      <c r="D912" s="15">
        <f>B912/B911-1</f>
        <v/>
      </c>
      <c r="E912" s="16">
        <f>LN(B912/B911)</f>
        <v/>
      </c>
      <c r="F912" s="15">
        <f>_xlfn.STDEV.S(OFFSET(D912,-Описание!$B$12,0,Описание!$B$12,1))</f>
        <v/>
      </c>
      <c r="G912" s="15">
        <f>SQRT(Описание!$B$13*G911^2+(1-Описание!$B$13)*D911^2)</f>
        <v/>
      </c>
      <c r="H912" s="17">
        <f>Описание!$B$9*F912*Описание!$B$7</f>
        <v/>
      </c>
      <c r="I912" s="17">
        <f>Описание!$B$9*G912*Описание!$B$7</f>
        <v/>
      </c>
    </row>
    <row r="913">
      <c r="A913" s="13" t="n">
        <v>40023</v>
      </c>
      <c r="B913" s="14" t="n">
        <v>1.4104</v>
      </c>
      <c r="C913" t="inlineStr">
        <is>
          <t>После</t>
        </is>
      </c>
      <c r="D913" s="15">
        <f>B913/B912-1</f>
        <v/>
      </c>
      <c r="E913" s="16">
        <f>LN(B913/B912)</f>
        <v/>
      </c>
      <c r="F913" s="15">
        <f>_xlfn.STDEV.S(OFFSET(D913,-Описание!$B$12,0,Описание!$B$12,1))</f>
        <v/>
      </c>
      <c r="G913" s="15">
        <f>SQRT(Описание!$B$13*G912^2+(1-Описание!$B$13)*D912^2)</f>
        <v/>
      </c>
      <c r="H913" s="17">
        <f>Описание!$B$9*F913*Описание!$B$7</f>
        <v/>
      </c>
      <c r="I913" s="17">
        <f>Описание!$B$9*G913*Описание!$B$7</f>
        <v/>
      </c>
    </row>
    <row r="914">
      <c r="A914" s="13" t="n">
        <v>40024</v>
      </c>
      <c r="B914" s="14" t="n">
        <v>1.4053</v>
      </c>
      <c r="C914" t="inlineStr">
        <is>
          <t>После</t>
        </is>
      </c>
      <c r="D914" s="15">
        <f>B914/B913-1</f>
        <v/>
      </c>
      <c r="E914" s="16">
        <f>LN(B914/B913)</f>
        <v/>
      </c>
      <c r="F914" s="15">
        <f>_xlfn.STDEV.S(OFFSET(D914,-Описание!$B$12,0,Описание!$B$12,1))</f>
        <v/>
      </c>
      <c r="G914" s="15">
        <f>SQRT(Описание!$B$13*G913^2+(1-Описание!$B$13)*D913^2)</f>
        <v/>
      </c>
      <c r="H914" s="17">
        <f>Описание!$B$9*F914*Описание!$B$7</f>
        <v/>
      </c>
      <c r="I914" s="17">
        <f>Описание!$B$9*G914*Описание!$B$7</f>
        <v/>
      </c>
    </row>
    <row r="915">
      <c r="A915" s="13" t="n">
        <v>40025</v>
      </c>
      <c r="B915" s="14" t="n">
        <v>1.4138</v>
      </c>
      <c r="C915" t="inlineStr">
        <is>
          <t>После</t>
        </is>
      </c>
      <c r="D915" s="15">
        <f>B915/B914-1</f>
        <v/>
      </c>
      <c r="E915" s="16">
        <f>LN(B915/B914)</f>
        <v/>
      </c>
      <c r="F915" s="15">
        <f>_xlfn.STDEV.S(OFFSET(D915,-Описание!$B$12,0,Описание!$B$12,1))</f>
        <v/>
      </c>
      <c r="G915" s="15">
        <f>SQRT(Описание!$B$13*G914^2+(1-Описание!$B$13)*D914^2)</f>
        <v/>
      </c>
      <c r="H915" s="17">
        <f>Описание!$B$9*F915*Описание!$B$7</f>
        <v/>
      </c>
      <c r="I915" s="17">
        <f>Описание!$B$9*G915*Описание!$B$7</f>
        <v/>
      </c>
    </row>
    <row r="916">
      <c r="A916" s="13" t="n">
        <v>40028</v>
      </c>
      <c r="B916" s="14" t="n">
        <v>1.4303</v>
      </c>
      <c r="C916" t="inlineStr">
        <is>
          <t>После</t>
        </is>
      </c>
      <c r="D916" s="15">
        <f>B916/B915-1</f>
        <v/>
      </c>
      <c r="E916" s="16">
        <f>LN(B916/B915)</f>
        <v/>
      </c>
      <c r="F916" s="15">
        <f>_xlfn.STDEV.S(OFFSET(D916,-Описание!$B$12,0,Описание!$B$12,1))</f>
        <v/>
      </c>
      <c r="G916" s="15">
        <f>SQRT(Описание!$B$13*G915^2+(1-Описание!$B$13)*D915^2)</f>
        <v/>
      </c>
      <c r="H916" s="17">
        <f>Описание!$B$9*F916*Описание!$B$7</f>
        <v/>
      </c>
      <c r="I916" s="17">
        <f>Описание!$B$9*G916*Описание!$B$7</f>
        <v/>
      </c>
    </row>
    <row r="917">
      <c r="A917" s="13" t="n">
        <v>40029</v>
      </c>
      <c r="B917" s="14" t="n">
        <v>1.4384</v>
      </c>
      <c r="C917" t="inlineStr">
        <is>
          <t>После</t>
        </is>
      </c>
      <c r="D917" s="15">
        <f>B917/B916-1</f>
        <v/>
      </c>
      <c r="E917" s="16">
        <f>LN(B917/B916)</f>
        <v/>
      </c>
      <c r="F917" s="15">
        <f>_xlfn.STDEV.S(OFFSET(D917,-Описание!$B$12,0,Описание!$B$12,1))</f>
        <v/>
      </c>
      <c r="G917" s="15">
        <f>SQRT(Описание!$B$13*G916^2+(1-Описание!$B$13)*D916^2)</f>
        <v/>
      </c>
      <c r="H917" s="17">
        <f>Описание!$B$9*F917*Описание!$B$7</f>
        <v/>
      </c>
      <c r="I917" s="17">
        <f>Описание!$B$9*G917*Описание!$B$7</f>
        <v/>
      </c>
    </row>
    <row r="918">
      <c r="A918" s="13" t="n">
        <v>40030</v>
      </c>
      <c r="B918" s="14" t="n">
        <v>1.441</v>
      </c>
      <c r="C918" t="inlineStr">
        <is>
          <t>После</t>
        </is>
      </c>
      <c r="D918" s="15">
        <f>B918/B917-1</f>
        <v/>
      </c>
      <c r="E918" s="16">
        <f>LN(B918/B917)</f>
        <v/>
      </c>
      <c r="F918" s="15">
        <f>_xlfn.STDEV.S(OFFSET(D918,-Описание!$B$12,0,Описание!$B$12,1))</f>
        <v/>
      </c>
      <c r="G918" s="15">
        <f>SQRT(Описание!$B$13*G917^2+(1-Описание!$B$13)*D917^2)</f>
        <v/>
      </c>
      <c r="H918" s="17">
        <f>Описание!$B$9*F918*Описание!$B$7</f>
        <v/>
      </c>
      <c r="I918" s="17">
        <f>Описание!$B$9*G918*Описание!$B$7</f>
        <v/>
      </c>
    </row>
    <row r="919">
      <c r="A919" s="13" t="n">
        <v>40031</v>
      </c>
      <c r="B919" s="14" t="n">
        <v>1.437</v>
      </c>
      <c r="C919" t="inlineStr">
        <is>
          <t>После</t>
        </is>
      </c>
      <c r="D919" s="15">
        <f>B919/B918-1</f>
        <v/>
      </c>
      <c r="E919" s="16">
        <f>LN(B919/B918)</f>
        <v/>
      </c>
      <c r="F919" s="15">
        <f>_xlfn.STDEV.S(OFFSET(D919,-Описание!$B$12,0,Описание!$B$12,1))</f>
        <v/>
      </c>
      <c r="G919" s="15">
        <f>SQRT(Описание!$B$13*G918^2+(1-Описание!$B$13)*D918^2)</f>
        <v/>
      </c>
      <c r="H919" s="17">
        <f>Описание!$B$9*F919*Описание!$B$7</f>
        <v/>
      </c>
      <c r="I919" s="17">
        <f>Описание!$B$9*G919*Описание!$B$7</f>
        <v/>
      </c>
    </row>
    <row r="920">
      <c r="A920" s="13" t="n">
        <v>40032</v>
      </c>
      <c r="B920" s="14" t="n">
        <v>1.4357</v>
      </c>
      <c r="C920" t="inlineStr">
        <is>
          <t>После</t>
        </is>
      </c>
      <c r="D920" s="15">
        <f>B920/B919-1</f>
        <v/>
      </c>
      <c r="E920" s="16">
        <f>LN(B920/B919)</f>
        <v/>
      </c>
      <c r="F920" s="15">
        <f>_xlfn.STDEV.S(OFFSET(D920,-Описание!$B$12,0,Описание!$B$12,1))</f>
        <v/>
      </c>
      <c r="G920" s="15">
        <f>SQRT(Описание!$B$13*G919^2+(1-Описание!$B$13)*D919^2)</f>
        <v/>
      </c>
      <c r="H920" s="17">
        <f>Описание!$B$9*F920*Описание!$B$7</f>
        <v/>
      </c>
      <c r="I920" s="17">
        <f>Описание!$B$9*G920*Описание!$B$7</f>
        <v/>
      </c>
    </row>
    <row r="921">
      <c r="A921" s="13" t="n">
        <v>40035</v>
      </c>
      <c r="B921" s="14" t="n">
        <v>1.4202</v>
      </c>
      <c r="C921" t="inlineStr">
        <is>
          <t>После</t>
        </is>
      </c>
      <c r="D921" s="15">
        <f>B921/B920-1</f>
        <v/>
      </c>
      <c r="E921" s="16">
        <f>LN(B921/B920)</f>
        <v/>
      </c>
      <c r="F921" s="15">
        <f>_xlfn.STDEV.S(OFFSET(D921,-Описание!$B$12,0,Описание!$B$12,1))</f>
        <v/>
      </c>
      <c r="G921" s="15">
        <f>SQRT(Описание!$B$13*G920^2+(1-Описание!$B$13)*D920^2)</f>
        <v/>
      </c>
      <c r="H921" s="17">
        <f>Описание!$B$9*F921*Описание!$B$7</f>
        <v/>
      </c>
      <c r="I921" s="17">
        <f>Описание!$B$9*G921*Описание!$B$7</f>
        <v/>
      </c>
    </row>
    <row r="922">
      <c r="A922" s="13" t="n">
        <v>40036</v>
      </c>
      <c r="B922" s="14" t="n">
        <v>1.4166</v>
      </c>
      <c r="C922" t="inlineStr">
        <is>
          <t>После</t>
        </is>
      </c>
      <c r="D922" s="15">
        <f>B922/B921-1</f>
        <v/>
      </c>
      <c r="E922" s="16">
        <f>LN(B922/B921)</f>
        <v/>
      </c>
      <c r="F922" s="15">
        <f>_xlfn.STDEV.S(OFFSET(D922,-Описание!$B$12,0,Описание!$B$12,1))</f>
        <v/>
      </c>
      <c r="G922" s="15">
        <f>SQRT(Описание!$B$13*G921^2+(1-Описание!$B$13)*D921^2)</f>
        <v/>
      </c>
      <c r="H922" s="17">
        <f>Описание!$B$9*F922*Описание!$B$7</f>
        <v/>
      </c>
      <c r="I922" s="17">
        <f>Описание!$B$9*G922*Описание!$B$7</f>
        <v/>
      </c>
    </row>
    <row r="923">
      <c r="A923" s="13" t="n">
        <v>40037</v>
      </c>
      <c r="B923" s="14" t="n">
        <v>1.417</v>
      </c>
      <c r="C923" t="inlineStr">
        <is>
          <t>После</t>
        </is>
      </c>
      <c r="D923" s="15">
        <f>B923/B922-1</f>
        <v/>
      </c>
      <c r="E923" s="16">
        <f>LN(B923/B922)</f>
        <v/>
      </c>
      <c r="F923" s="15">
        <f>_xlfn.STDEV.S(OFFSET(D923,-Описание!$B$12,0,Описание!$B$12,1))</f>
        <v/>
      </c>
      <c r="G923" s="15">
        <f>SQRT(Описание!$B$13*G922^2+(1-Описание!$B$13)*D922^2)</f>
        <v/>
      </c>
      <c r="H923" s="17">
        <f>Описание!$B$9*F923*Описание!$B$7</f>
        <v/>
      </c>
      <c r="I923" s="17">
        <f>Описание!$B$9*G923*Описание!$B$7</f>
        <v/>
      </c>
    </row>
    <row r="924">
      <c r="A924" s="13" t="n">
        <v>40038</v>
      </c>
      <c r="B924" s="14" t="n">
        <v>1.4293</v>
      </c>
      <c r="C924" t="inlineStr">
        <is>
          <t>После</t>
        </is>
      </c>
      <c r="D924" s="15">
        <f>B924/B923-1</f>
        <v/>
      </c>
      <c r="E924" s="16">
        <f>LN(B924/B923)</f>
        <v/>
      </c>
      <c r="F924" s="15">
        <f>_xlfn.STDEV.S(OFFSET(D924,-Описание!$B$12,0,Описание!$B$12,1))</f>
        <v/>
      </c>
      <c r="G924" s="15">
        <f>SQRT(Описание!$B$13*G923^2+(1-Описание!$B$13)*D923^2)</f>
        <v/>
      </c>
      <c r="H924" s="17">
        <f>Описание!$B$9*F924*Описание!$B$7</f>
        <v/>
      </c>
      <c r="I924" s="17">
        <f>Описание!$B$9*G924*Описание!$B$7</f>
        <v/>
      </c>
    </row>
    <row r="925">
      <c r="A925" s="13" t="n">
        <v>40039</v>
      </c>
      <c r="B925" s="14" t="n">
        <v>1.4294</v>
      </c>
      <c r="C925" t="inlineStr">
        <is>
          <t>После</t>
        </is>
      </c>
      <c r="D925" s="15">
        <f>B925/B924-1</f>
        <v/>
      </c>
      <c r="E925" s="16">
        <f>LN(B925/B924)</f>
        <v/>
      </c>
      <c r="F925" s="15">
        <f>_xlfn.STDEV.S(OFFSET(D925,-Описание!$B$12,0,Описание!$B$12,1))</f>
        <v/>
      </c>
      <c r="G925" s="15">
        <f>SQRT(Описание!$B$13*G924^2+(1-Описание!$B$13)*D924^2)</f>
        <v/>
      </c>
      <c r="H925" s="17">
        <f>Описание!$B$9*F925*Описание!$B$7</f>
        <v/>
      </c>
      <c r="I925" s="17">
        <f>Описание!$B$9*G925*Описание!$B$7</f>
        <v/>
      </c>
    </row>
    <row r="926">
      <c r="A926" s="13" t="n">
        <v>40042</v>
      </c>
      <c r="B926" s="14" t="n">
        <v>1.4072</v>
      </c>
      <c r="C926" t="inlineStr">
        <is>
          <t>После</t>
        </is>
      </c>
      <c r="D926" s="15">
        <f>B926/B925-1</f>
        <v/>
      </c>
      <c r="E926" s="16">
        <f>LN(B926/B925)</f>
        <v/>
      </c>
      <c r="F926" s="15">
        <f>_xlfn.STDEV.S(OFFSET(D926,-Описание!$B$12,0,Описание!$B$12,1))</f>
        <v/>
      </c>
      <c r="G926" s="15">
        <f>SQRT(Описание!$B$13*G925^2+(1-Описание!$B$13)*D925^2)</f>
        <v/>
      </c>
      <c r="H926" s="17">
        <f>Описание!$B$9*F926*Описание!$B$7</f>
        <v/>
      </c>
      <c r="I926" s="17">
        <f>Описание!$B$9*G926*Описание!$B$7</f>
        <v/>
      </c>
    </row>
    <row r="927">
      <c r="A927" s="13" t="n">
        <v>40043</v>
      </c>
      <c r="B927" s="14" t="n">
        <v>1.4101</v>
      </c>
      <c r="C927" t="inlineStr">
        <is>
          <t>После</t>
        </is>
      </c>
      <c r="D927" s="15">
        <f>B927/B926-1</f>
        <v/>
      </c>
      <c r="E927" s="16">
        <f>LN(B927/B926)</f>
        <v/>
      </c>
      <c r="F927" s="15">
        <f>_xlfn.STDEV.S(OFFSET(D927,-Описание!$B$12,0,Описание!$B$12,1))</f>
        <v/>
      </c>
      <c r="G927" s="15">
        <f>SQRT(Описание!$B$13*G926^2+(1-Описание!$B$13)*D926^2)</f>
        <v/>
      </c>
      <c r="H927" s="17">
        <f>Описание!$B$9*F927*Описание!$B$7</f>
        <v/>
      </c>
      <c r="I927" s="17">
        <f>Описание!$B$9*G927*Описание!$B$7</f>
        <v/>
      </c>
    </row>
    <row r="928">
      <c r="A928" s="13" t="n">
        <v>40044</v>
      </c>
      <c r="B928" s="14" t="n">
        <v>1.4112</v>
      </c>
      <c r="C928" t="inlineStr">
        <is>
          <t>После</t>
        </is>
      </c>
      <c r="D928" s="15">
        <f>B928/B927-1</f>
        <v/>
      </c>
      <c r="E928" s="16">
        <f>LN(B928/B927)</f>
        <v/>
      </c>
      <c r="F928" s="15">
        <f>_xlfn.STDEV.S(OFFSET(D928,-Описание!$B$12,0,Описание!$B$12,1))</f>
        <v/>
      </c>
      <c r="G928" s="15">
        <f>SQRT(Описание!$B$13*G927^2+(1-Описание!$B$13)*D927^2)</f>
        <v/>
      </c>
      <c r="H928" s="17">
        <f>Описание!$B$9*F928*Описание!$B$7</f>
        <v/>
      </c>
      <c r="I928" s="17">
        <f>Описание!$B$9*G928*Описание!$B$7</f>
        <v/>
      </c>
    </row>
    <row r="929">
      <c r="A929" s="13" t="n">
        <v>40045</v>
      </c>
      <c r="B929" s="14" t="n">
        <v>1.4243</v>
      </c>
      <c r="C929" t="inlineStr">
        <is>
          <t>После</t>
        </is>
      </c>
      <c r="D929" s="15">
        <f>B929/B928-1</f>
        <v/>
      </c>
      <c r="E929" s="16">
        <f>LN(B929/B928)</f>
        <v/>
      </c>
      <c r="F929" s="15">
        <f>_xlfn.STDEV.S(OFFSET(D929,-Описание!$B$12,0,Описание!$B$12,1))</f>
        <v/>
      </c>
      <c r="G929" s="15">
        <f>SQRT(Описание!$B$13*G928^2+(1-Описание!$B$13)*D928^2)</f>
        <v/>
      </c>
      <c r="H929" s="17">
        <f>Описание!$B$9*F929*Описание!$B$7</f>
        <v/>
      </c>
      <c r="I929" s="17">
        <f>Описание!$B$9*G929*Описание!$B$7</f>
        <v/>
      </c>
    </row>
    <row r="930">
      <c r="A930" s="13" t="n">
        <v>40046</v>
      </c>
      <c r="B930" s="14" t="n">
        <v>1.433</v>
      </c>
      <c r="C930" t="inlineStr">
        <is>
          <t>После</t>
        </is>
      </c>
      <c r="D930" s="15">
        <f>B930/B929-1</f>
        <v/>
      </c>
      <c r="E930" s="16">
        <f>LN(B930/B929)</f>
        <v/>
      </c>
      <c r="F930" s="15">
        <f>_xlfn.STDEV.S(OFFSET(D930,-Описание!$B$12,0,Описание!$B$12,1))</f>
        <v/>
      </c>
      <c r="G930" s="15">
        <f>SQRT(Описание!$B$13*G929^2+(1-Описание!$B$13)*D929^2)</f>
        <v/>
      </c>
      <c r="H930" s="17">
        <f>Описание!$B$9*F930*Описание!$B$7</f>
        <v/>
      </c>
      <c r="I930" s="17">
        <f>Описание!$B$9*G930*Описание!$B$7</f>
        <v/>
      </c>
    </row>
    <row r="931">
      <c r="A931" s="13" t="n">
        <v>40049</v>
      </c>
      <c r="B931" s="14" t="n">
        <v>1.4323</v>
      </c>
      <c r="C931" t="inlineStr">
        <is>
          <t>После</t>
        </is>
      </c>
      <c r="D931" s="15">
        <f>B931/B930-1</f>
        <v/>
      </c>
      <c r="E931" s="16">
        <f>LN(B931/B930)</f>
        <v/>
      </c>
      <c r="F931" s="15">
        <f>_xlfn.STDEV.S(OFFSET(D931,-Описание!$B$12,0,Описание!$B$12,1))</f>
        <v/>
      </c>
      <c r="G931" s="15">
        <f>SQRT(Описание!$B$13*G930^2+(1-Описание!$B$13)*D930^2)</f>
        <v/>
      </c>
      <c r="H931" s="17">
        <f>Описание!$B$9*F931*Описание!$B$7</f>
        <v/>
      </c>
      <c r="I931" s="17">
        <f>Описание!$B$9*G931*Описание!$B$7</f>
        <v/>
      </c>
    </row>
    <row r="932">
      <c r="A932" s="13" t="n">
        <v>40050</v>
      </c>
      <c r="B932" s="14" t="n">
        <v>1.4324</v>
      </c>
      <c r="C932" t="inlineStr">
        <is>
          <t>После</t>
        </is>
      </c>
      <c r="D932" s="15">
        <f>B932/B931-1</f>
        <v/>
      </c>
      <c r="E932" s="16">
        <f>LN(B932/B931)</f>
        <v/>
      </c>
      <c r="F932" s="15">
        <f>_xlfn.STDEV.S(OFFSET(D932,-Описание!$B$12,0,Описание!$B$12,1))</f>
        <v/>
      </c>
      <c r="G932" s="15">
        <f>SQRT(Описание!$B$13*G931^2+(1-Описание!$B$13)*D931^2)</f>
        <v/>
      </c>
      <c r="H932" s="17">
        <f>Описание!$B$9*F932*Описание!$B$7</f>
        <v/>
      </c>
      <c r="I932" s="17">
        <f>Описание!$B$9*G932*Описание!$B$7</f>
        <v/>
      </c>
    </row>
    <row r="933">
      <c r="A933" s="13" t="n">
        <v>40051</v>
      </c>
      <c r="B933" s="14" t="n">
        <v>1.427</v>
      </c>
      <c r="C933" t="inlineStr">
        <is>
          <t>После</t>
        </is>
      </c>
      <c r="D933" s="15">
        <f>B933/B932-1</f>
        <v/>
      </c>
      <c r="E933" s="16">
        <f>LN(B933/B932)</f>
        <v/>
      </c>
      <c r="F933" s="15">
        <f>_xlfn.STDEV.S(OFFSET(D933,-Описание!$B$12,0,Описание!$B$12,1))</f>
        <v/>
      </c>
      <c r="G933" s="15">
        <f>SQRT(Описание!$B$13*G932^2+(1-Описание!$B$13)*D932^2)</f>
        <v/>
      </c>
      <c r="H933" s="17">
        <f>Описание!$B$9*F933*Описание!$B$7</f>
        <v/>
      </c>
      <c r="I933" s="17">
        <f>Описание!$B$9*G933*Описание!$B$7</f>
        <v/>
      </c>
    </row>
    <row r="934">
      <c r="A934" s="13" t="n">
        <v>40052</v>
      </c>
      <c r="B934" s="14" t="n">
        <v>1.4268</v>
      </c>
      <c r="C934" t="inlineStr">
        <is>
          <t>После</t>
        </is>
      </c>
      <c r="D934" s="15">
        <f>B934/B933-1</f>
        <v/>
      </c>
      <c r="E934" s="16">
        <f>LN(B934/B933)</f>
        <v/>
      </c>
      <c r="F934" s="15">
        <f>_xlfn.STDEV.S(OFFSET(D934,-Описание!$B$12,0,Описание!$B$12,1))</f>
        <v/>
      </c>
      <c r="G934" s="15">
        <f>SQRT(Описание!$B$13*G933^2+(1-Описание!$B$13)*D933^2)</f>
        <v/>
      </c>
      <c r="H934" s="17">
        <f>Описание!$B$9*F934*Описание!$B$7</f>
        <v/>
      </c>
      <c r="I934" s="17">
        <f>Описание!$B$9*G934*Описание!$B$7</f>
        <v/>
      </c>
    </row>
    <row r="935">
      <c r="A935" s="13" t="n">
        <v>40053</v>
      </c>
      <c r="B935" s="14" t="n">
        <v>1.4364</v>
      </c>
      <c r="C935" t="inlineStr">
        <is>
          <t>После</t>
        </is>
      </c>
      <c r="D935" s="15">
        <f>B935/B934-1</f>
        <v/>
      </c>
      <c r="E935" s="16">
        <f>LN(B935/B934)</f>
        <v/>
      </c>
      <c r="F935" s="15">
        <f>_xlfn.STDEV.S(OFFSET(D935,-Описание!$B$12,0,Описание!$B$12,1))</f>
        <v/>
      </c>
      <c r="G935" s="15">
        <f>SQRT(Описание!$B$13*G934^2+(1-Описание!$B$13)*D934^2)</f>
        <v/>
      </c>
      <c r="H935" s="17">
        <f>Описание!$B$9*F935*Описание!$B$7</f>
        <v/>
      </c>
      <c r="I935" s="17">
        <f>Описание!$B$9*G935*Описание!$B$7</f>
        <v/>
      </c>
    </row>
    <row r="936">
      <c r="A936" s="13" t="n">
        <v>40056</v>
      </c>
      <c r="B936" s="14" t="n">
        <v>1.4272</v>
      </c>
      <c r="C936" t="inlineStr">
        <is>
          <t>После</t>
        </is>
      </c>
      <c r="D936" s="15">
        <f>B936/B935-1</f>
        <v/>
      </c>
      <c r="E936" s="16">
        <f>LN(B936/B935)</f>
        <v/>
      </c>
      <c r="F936" s="15">
        <f>_xlfn.STDEV.S(OFFSET(D936,-Описание!$B$12,0,Описание!$B$12,1))</f>
        <v/>
      </c>
      <c r="G936" s="15">
        <f>SQRT(Описание!$B$13*G935^2+(1-Описание!$B$13)*D935^2)</f>
        <v/>
      </c>
      <c r="H936" s="17">
        <f>Описание!$B$9*F936*Описание!$B$7</f>
        <v/>
      </c>
      <c r="I936" s="17">
        <f>Описание!$B$9*G936*Описание!$B$7</f>
        <v/>
      </c>
    </row>
    <row r="937">
      <c r="A937" s="13" t="n">
        <v>40057</v>
      </c>
      <c r="B937" s="14" t="n">
        <v>1.4314</v>
      </c>
      <c r="C937" t="inlineStr">
        <is>
          <t>После</t>
        </is>
      </c>
      <c r="D937" s="15">
        <f>B937/B936-1</f>
        <v/>
      </c>
      <c r="E937" s="16">
        <f>LN(B937/B936)</f>
        <v/>
      </c>
      <c r="F937" s="15">
        <f>_xlfn.STDEV.S(OFFSET(D937,-Описание!$B$12,0,Описание!$B$12,1))</f>
        <v/>
      </c>
      <c r="G937" s="15">
        <f>SQRT(Описание!$B$13*G936^2+(1-Описание!$B$13)*D936^2)</f>
        <v/>
      </c>
      <c r="H937" s="17">
        <f>Описание!$B$9*F937*Описание!$B$7</f>
        <v/>
      </c>
      <c r="I937" s="17">
        <f>Описание!$B$9*G937*Описание!$B$7</f>
        <v/>
      </c>
    </row>
    <row r="938">
      <c r="A938" s="13" t="n">
        <v>40058</v>
      </c>
      <c r="B938" s="14" t="n">
        <v>1.422</v>
      </c>
      <c r="C938" t="inlineStr">
        <is>
          <t>После</t>
        </is>
      </c>
      <c r="D938" s="15">
        <f>B938/B937-1</f>
        <v/>
      </c>
      <c r="E938" s="16">
        <f>LN(B938/B937)</f>
        <v/>
      </c>
      <c r="F938" s="15">
        <f>_xlfn.STDEV.S(OFFSET(D938,-Описание!$B$12,0,Описание!$B$12,1))</f>
        <v/>
      </c>
      <c r="G938" s="15">
        <f>SQRT(Описание!$B$13*G937^2+(1-Описание!$B$13)*D937^2)</f>
        <v/>
      </c>
      <c r="H938" s="17">
        <f>Описание!$B$9*F938*Описание!$B$7</f>
        <v/>
      </c>
      <c r="I938" s="17">
        <f>Описание!$B$9*G938*Описание!$B$7</f>
        <v/>
      </c>
    </row>
    <row r="939">
      <c r="A939" s="13" t="n">
        <v>40059</v>
      </c>
      <c r="B939" s="14" t="n">
        <v>1.4335</v>
      </c>
      <c r="C939" t="inlineStr">
        <is>
          <t>После</t>
        </is>
      </c>
      <c r="D939" s="15">
        <f>B939/B938-1</f>
        <v/>
      </c>
      <c r="E939" s="16">
        <f>LN(B939/B938)</f>
        <v/>
      </c>
      <c r="F939" s="15">
        <f>_xlfn.STDEV.S(OFFSET(D939,-Описание!$B$12,0,Описание!$B$12,1))</f>
        <v/>
      </c>
      <c r="G939" s="15">
        <f>SQRT(Описание!$B$13*G938^2+(1-Описание!$B$13)*D938^2)</f>
        <v/>
      </c>
      <c r="H939" s="17">
        <f>Описание!$B$9*F939*Описание!$B$7</f>
        <v/>
      </c>
      <c r="I939" s="17">
        <f>Описание!$B$9*G939*Описание!$B$7</f>
        <v/>
      </c>
    </row>
    <row r="940">
      <c r="A940" s="13" t="n">
        <v>40060</v>
      </c>
      <c r="B940" s="14" t="n">
        <v>1.4262</v>
      </c>
      <c r="C940" t="inlineStr">
        <is>
          <t>После</t>
        </is>
      </c>
      <c r="D940" s="15">
        <f>B940/B939-1</f>
        <v/>
      </c>
      <c r="E940" s="16">
        <f>LN(B940/B939)</f>
        <v/>
      </c>
      <c r="F940" s="15">
        <f>_xlfn.STDEV.S(OFFSET(D940,-Описание!$B$12,0,Описание!$B$12,1))</f>
        <v/>
      </c>
      <c r="G940" s="15">
        <f>SQRT(Описание!$B$13*G939^2+(1-Описание!$B$13)*D939^2)</f>
        <v/>
      </c>
      <c r="H940" s="17">
        <f>Описание!$B$9*F940*Описание!$B$7</f>
        <v/>
      </c>
      <c r="I940" s="17">
        <f>Описание!$B$9*G940*Описание!$B$7</f>
        <v/>
      </c>
    </row>
    <row r="941">
      <c r="A941" s="13" t="n">
        <v>40063</v>
      </c>
      <c r="B941" s="14" t="n">
        <v>1.433</v>
      </c>
      <c r="C941" t="inlineStr">
        <is>
          <t>После</t>
        </is>
      </c>
      <c r="D941" s="15">
        <f>B941/B940-1</f>
        <v/>
      </c>
      <c r="E941" s="16">
        <f>LN(B941/B940)</f>
        <v/>
      </c>
      <c r="F941" s="15">
        <f>_xlfn.STDEV.S(OFFSET(D941,-Описание!$B$12,0,Описание!$B$12,1))</f>
        <v/>
      </c>
      <c r="G941" s="15">
        <f>SQRT(Описание!$B$13*G940^2+(1-Описание!$B$13)*D940^2)</f>
        <v/>
      </c>
      <c r="H941" s="17">
        <f>Описание!$B$9*F941*Описание!$B$7</f>
        <v/>
      </c>
      <c r="I941" s="17">
        <f>Описание!$B$9*G941*Описание!$B$7</f>
        <v/>
      </c>
    </row>
    <row r="942">
      <c r="A942" s="13" t="n">
        <v>40064</v>
      </c>
      <c r="B942" s="14" t="n">
        <v>1.4473</v>
      </c>
      <c r="C942" t="inlineStr">
        <is>
          <t>После</t>
        </is>
      </c>
      <c r="D942" s="15">
        <f>B942/B941-1</f>
        <v/>
      </c>
      <c r="E942" s="16">
        <f>LN(B942/B941)</f>
        <v/>
      </c>
      <c r="F942" s="15">
        <f>_xlfn.STDEV.S(OFFSET(D942,-Описание!$B$12,0,Описание!$B$12,1))</f>
        <v/>
      </c>
      <c r="G942" s="15">
        <f>SQRT(Описание!$B$13*G941^2+(1-Описание!$B$13)*D941^2)</f>
        <v/>
      </c>
      <c r="H942" s="17">
        <f>Описание!$B$9*F942*Описание!$B$7</f>
        <v/>
      </c>
      <c r="I942" s="17">
        <f>Описание!$B$9*G942*Описание!$B$7</f>
        <v/>
      </c>
    </row>
    <row r="943">
      <c r="A943" s="13" t="n">
        <v>40065</v>
      </c>
      <c r="B943" s="14" t="n">
        <v>1.4522</v>
      </c>
      <c r="C943" t="inlineStr">
        <is>
          <t>После</t>
        </is>
      </c>
      <c r="D943" s="15">
        <f>B943/B942-1</f>
        <v/>
      </c>
      <c r="E943" s="16">
        <f>LN(B943/B942)</f>
        <v/>
      </c>
      <c r="F943" s="15">
        <f>_xlfn.STDEV.S(OFFSET(D943,-Описание!$B$12,0,Описание!$B$12,1))</f>
        <v/>
      </c>
      <c r="G943" s="15">
        <f>SQRT(Описание!$B$13*G942^2+(1-Описание!$B$13)*D942^2)</f>
        <v/>
      </c>
      <c r="H943" s="17">
        <f>Описание!$B$9*F943*Описание!$B$7</f>
        <v/>
      </c>
      <c r="I943" s="17">
        <f>Описание!$B$9*G943*Описание!$B$7</f>
        <v/>
      </c>
    </row>
    <row r="944">
      <c r="A944" s="13" t="n">
        <v>40066</v>
      </c>
      <c r="B944" s="14" t="n">
        <v>1.4545</v>
      </c>
      <c r="C944" t="inlineStr">
        <is>
          <t>После</t>
        </is>
      </c>
      <c r="D944" s="15">
        <f>B944/B943-1</f>
        <v/>
      </c>
      <c r="E944" s="16">
        <f>LN(B944/B943)</f>
        <v/>
      </c>
      <c r="F944" s="15">
        <f>_xlfn.STDEV.S(OFFSET(D944,-Описание!$B$12,0,Описание!$B$12,1))</f>
        <v/>
      </c>
      <c r="G944" s="15">
        <f>SQRT(Описание!$B$13*G943^2+(1-Описание!$B$13)*D943^2)</f>
        <v/>
      </c>
      <c r="H944" s="17">
        <f>Описание!$B$9*F944*Описание!$B$7</f>
        <v/>
      </c>
      <c r="I944" s="17">
        <f>Описание!$B$9*G944*Описание!$B$7</f>
        <v/>
      </c>
    </row>
    <row r="945">
      <c r="A945" s="13" t="n">
        <v>40067</v>
      </c>
      <c r="B945" s="14" t="n">
        <v>1.4594</v>
      </c>
      <c r="C945" t="inlineStr">
        <is>
          <t>После</t>
        </is>
      </c>
      <c r="D945" s="15">
        <f>B945/B944-1</f>
        <v/>
      </c>
      <c r="E945" s="16">
        <f>LN(B945/B944)</f>
        <v/>
      </c>
      <c r="F945" s="15">
        <f>_xlfn.STDEV.S(OFFSET(D945,-Описание!$B$12,0,Описание!$B$12,1))</f>
        <v/>
      </c>
      <c r="G945" s="15">
        <f>SQRT(Описание!$B$13*G944^2+(1-Описание!$B$13)*D944^2)</f>
        <v/>
      </c>
      <c r="H945" s="17">
        <f>Описание!$B$9*F945*Описание!$B$7</f>
        <v/>
      </c>
      <c r="I945" s="17">
        <f>Описание!$B$9*G945*Описание!$B$7</f>
        <v/>
      </c>
    </row>
    <row r="946">
      <c r="A946" s="13" t="n">
        <v>40070</v>
      </c>
      <c r="B946" s="14" t="n">
        <v>1.4561</v>
      </c>
      <c r="C946" t="inlineStr">
        <is>
          <t>После</t>
        </is>
      </c>
      <c r="D946" s="15">
        <f>B946/B945-1</f>
        <v/>
      </c>
      <c r="E946" s="16">
        <f>LN(B946/B945)</f>
        <v/>
      </c>
      <c r="F946" s="15">
        <f>_xlfn.STDEV.S(OFFSET(D946,-Описание!$B$12,0,Описание!$B$12,1))</f>
        <v/>
      </c>
      <c r="G946" s="15">
        <f>SQRT(Описание!$B$13*G945^2+(1-Описание!$B$13)*D945^2)</f>
        <v/>
      </c>
      <c r="H946" s="17">
        <f>Описание!$B$9*F946*Описание!$B$7</f>
        <v/>
      </c>
      <c r="I946" s="17">
        <f>Описание!$B$9*G946*Описание!$B$7</f>
        <v/>
      </c>
    </row>
    <row r="947">
      <c r="A947" s="13" t="n">
        <v>40071</v>
      </c>
      <c r="B947" s="14" t="n">
        <v>1.4611</v>
      </c>
      <c r="C947" t="inlineStr">
        <is>
          <t>После</t>
        </is>
      </c>
      <c r="D947" s="15">
        <f>B947/B946-1</f>
        <v/>
      </c>
      <c r="E947" s="16">
        <f>LN(B947/B946)</f>
        <v/>
      </c>
      <c r="F947" s="15">
        <f>_xlfn.STDEV.S(OFFSET(D947,-Описание!$B$12,0,Описание!$B$12,1))</f>
        <v/>
      </c>
      <c r="G947" s="15">
        <f>SQRT(Описание!$B$13*G946^2+(1-Описание!$B$13)*D946^2)</f>
        <v/>
      </c>
      <c r="H947" s="17">
        <f>Описание!$B$9*F947*Описание!$B$7</f>
        <v/>
      </c>
      <c r="I947" s="17">
        <f>Описание!$B$9*G947*Описание!$B$7</f>
        <v/>
      </c>
    </row>
    <row r="948">
      <c r="A948" s="13" t="n">
        <v>40072</v>
      </c>
      <c r="B948" s="14" t="n">
        <v>1.4671</v>
      </c>
      <c r="C948" t="inlineStr">
        <is>
          <t>После</t>
        </is>
      </c>
      <c r="D948" s="15">
        <f>B948/B947-1</f>
        <v/>
      </c>
      <c r="E948" s="16">
        <f>LN(B948/B947)</f>
        <v/>
      </c>
      <c r="F948" s="15">
        <f>_xlfn.STDEV.S(OFFSET(D948,-Описание!$B$12,0,Описание!$B$12,1))</f>
        <v/>
      </c>
      <c r="G948" s="15">
        <f>SQRT(Описание!$B$13*G947^2+(1-Описание!$B$13)*D947^2)</f>
        <v/>
      </c>
      <c r="H948" s="17">
        <f>Описание!$B$9*F948*Описание!$B$7</f>
        <v/>
      </c>
      <c r="I948" s="17">
        <f>Описание!$B$9*G948*Описание!$B$7</f>
        <v/>
      </c>
    </row>
    <row r="949">
      <c r="A949" s="13" t="n">
        <v>40073</v>
      </c>
      <c r="B949" s="14" t="n">
        <v>1.4712</v>
      </c>
      <c r="C949" t="inlineStr">
        <is>
          <t>После</t>
        </is>
      </c>
      <c r="D949" s="15">
        <f>B949/B948-1</f>
        <v/>
      </c>
      <c r="E949" s="16">
        <f>LN(B949/B948)</f>
        <v/>
      </c>
      <c r="F949" s="15">
        <f>_xlfn.STDEV.S(OFFSET(D949,-Описание!$B$12,0,Описание!$B$12,1))</f>
        <v/>
      </c>
      <c r="G949" s="15">
        <f>SQRT(Описание!$B$13*G948^2+(1-Описание!$B$13)*D948^2)</f>
        <v/>
      </c>
      <c r="H949" s="17">
        <f>Описание!$B$9*F949*Описание!$B$7</f>
        <v/>
      </c>
      <c r="I949" s="17">
        <f>Описание!$B$9*G949*Описание!$B$7</f>
        <v/>
      </c>
    </row>
    <row r="950">
      <c r="A950" s="13" t="n">
        <v>40074</v>
      </c>
      <c r="B950" s="14" t="n">
        <v>1.4705</v>
      </c>
      <c r="C950" t="inlineStr">
        <is>
          <t>После</t>
        </is>
      </c>
      <c r="D950" s="15">
        <f>B950/B949-1</f>
        <v/>
      </c>
      <c r="E950" s="16">
        <f>LN(B950/B949)</f>
        <v/>
      </c>
      <c r="F950" s="15">
        <f>_xlfn.STDEV.S(OFFSET(D950,-Описание!$B$12,0,Описание!$B$12,1))</f>
        <v/>
      </c>
      <c r="G950" s="15">
        <f>SQRT(Описание!$B$13*G949^2+(1-Описание!$B$13)*D949^2)</f>
        <v/>
      </c>
      <c r="H950" s="17">
        <f>Описание!$B$9*F950*Описание!$B$7</f>
        <v/>
      </c>
      <c r="I950" s="17">
        <f>Описание!$B$9*G950*Описание!$B$7</f>
        <v/>
      </c>
    </row>
    <row r="951">
      <c r="A951" s="13" t="n">
        <v>40077</v>
      </c>
      <c r="B951" s="14" t="n">
        <v>1.4658</v>
      </c>
      <c r="C951" t="inlineStr">
        <is>
          <t>После</t>
        </is>
      </c>
      <c r="D951" s="15">
        <f>B951/B950-1</f>
        <v/>
      </c>
      <c r="E951" s="16">
        <f>LN(B951/B950)</f>
        <v/>
      </c>
      <c r="F951" s="15">
        <f>_xlfn.STDEV.S(OFFSET(D951,-Описание!$B$12,0,Описание!$B$12,1))</f>
        <v/>
      </c>
      <c r="G951" s="15">
        <f>SQRT(Описание!$B$13*G950^2+(1-Описание!$B$13)*D950^2)</f>
        <v/>
      </c>
      <c r="H951" s="17">
        <f>Описание!$B$9*F951*Описание!$B$7</f>
        <v/>
      </c>
      <c r="I951" s="17">
        <f>Описание!$B$9*G951*Описание!$B$7</f>
        <v/>
      </c>
    </row>
    <row r="952">
      <c r="A952" s="13" t="n">
        <v>40078</v>
      </c>
      <c r="B952" s="14" t="n">
        <v>1.478</v>
      </c>
      <c r="C952" t="inlineStr">
        <is>
          <t>После</t>
        </is>
      </c>
      <c r="D952" s="15">
        <f>B952/B951-1</f>
        <v/>
      </c>
      <c r="E952" s="16">
        <f>LN(B952/B951)</f>
        <v/>
      </c>
      <c r="F952" s="15">
        <f>_xlfn.STDEV.S(OFFSET(D952,-Описание!$B$12,0,Описание!$B$12,1))</f>
        <v/>
      </c>
      <c r="G952" s="15">
        <f>SQRT(Описание!$B$13*G951^2+(1-Описание!$B$13)*D951^2)</f>
        <v/>
      </c>
      <c r="H952" s="17">
        <f>Описание!$B$9*F952*Описание!$B$7</f>
        <v/>
      </c>
      <c r="I952" s="17">
        <f>Описание!$B$9*G952*Описание!$B$7</f>
        <v/>
      </c>
    </row>
    <row r="953">
      <c r="A953" s="13" t="n">
        <v>40079</v>
      </c>
      <c r="B953" s="14" t="n">
        <v>1.4783</v>
      </c>
      <c r="C953" t="inlineStr">
        <is>
          <t>После</t>
        </is>
      </c>
      <c r="D953" s="15">
        <f>B953/B952-1</f>
        <v/>
      </c>
      <c r="E953" s="16">
        <f>LN(B953/B952)</f>
        <v/>
      </c>
      <c r="F953" s="15">
        <f>_xlfn.STDEV.S(OFFSET(D953,-Описание!$B$12,0,Описание!$B$12,1))</f>
        <v/>
      </c>
      <c r="G953" s="15">
        <f>SQRT(Описание!$B$13*G952^2+(1-Описание!$B$13)*D952^2)</f>
        <v/>
      </c>
      <c r="H953" s="17">
        <f>Описание!$B$9*F953*Описание!$B$7</f>
        <v/>
      </c>
      <c r="I953" s="17">
        <f>Описание!$B$9*G953*Описание!$B$7</f>
        <v/>
      </c>
    </row>
    <row r="954">
      <c r="A954" s="13" t="n">
        <v>40080</v>
      </c>
      <c r="B954" s="14" t="n">
        <v>1.4768</v>
      </c>
      <c r="C954" t="inlineStr">
        <is>
          <t>После</t>
        </is>
      </c>
      <c r="D954" s="15">
        <f>B954/B953-1</f>
        <v/>
      </c>
      <c r="E954" s="16">
        <f>LN(B954/B953)</f>
        <v/>
      </c>
      <c r="F954" s="15">
        <f>_xlfn.STDEV.S(OFFSET(D954,-Описание!$B$12,0,Описание!$B$12,1))</f>
        <v/>
      </c>
      <c r="G954" s="15">
        <f>SQRT(Описание!$B$13*G953^2+(1-Описание!$B$13)*D953^2)</f>
        <v/>
      </c>
      <c r="H954" s="17">
        <f>Описание!$B$9*F954*Описание!$B$7</f>
        <v/>
      </c>
      <c r="I954" s="17">
        <f>Описание!$B$9*G954*Описание!$B$7</f>
        <v/>
      </c>
    </row>
    <row r="955">
      <c r="A955" s="13" t="n">
        <v>40081</v>
      </c>
      <c r="B955" s="14" t="n">
        <v>1.467</v>
      </c>
      <c r="C955" t="inlineStr">
        <is>
          <t>После</t>
        </is>
      </c>
      <c r="D955" s="15">
        <f>B955/B954-1</f>
        <v/>
      </c>
      <c r="E955" s="16">
        <f>LN(B955/B954)</f>
        <v/>
      </c>
      <c r="F955" s="15">
        <f>_xlfn.STDEV.S(OFFSET(D955,-Описание!$B$12,0,Описание!$B$12,1))</f>
        <v/>
      </c>
      <c r="G955" s="15">
        <f>SQRT(Описание!$B$13*G954^2+(1-Описание!$B$13)*D954^2)</f>
        <v/>
      </c>
      <c r="H955" s="17">
        <f>Описание!$B$9*F955*Описание!$B$7</f>
        <v/>
      </c>
      <c r="I955" s="17">
        <f>Описание!$B$9*G955*Описание!$B$7</f>
        <v/>
      </c>
    </row>
    <row r="956">
      <c r="A956" s="13" t="n">
        <v>40084</v>
      </c>
      <c r="B956" s="14" t="n">
        <v>1.465</v>
      </c>
      <c r="C956" t="inlineStr">
        <is>
          <t>После</t>
        </is>
      </c>
      <c r="D956" s="15">
        <f>B956/B955-1</f>
        <v/>
      </c>
      <c r="E956" s="16">
        <f>LN(B956/B955)</f>
        <v/>
      </c>
      <c r="F956" s="15">
        <f>_xlfn.STDEV.S(OFFSET(D956,-Описание!$B$12,0,Описание!$B$12,1))</f>
        <v/>
      </c>
      <c r="G956" s="15">
        <f>SQRT(Описание!$B$13*G955^2+(1-Описание!$B$13)*D955^2)</f>
        <v/>
      </c>
      <c r="H956" s="17">
        <f>Описание!$B$9*F956*Описание!$B$7</f>
        <v/>
      </c>
      <c r="I956" s="17">
        <f>Описание!$B$9*G956*Описание!$B$7</f>
        <v/>
      </c>
    </row>
    <row r="957">
      <c r="A957" s="13" t="n">
        <v>40085</v>
      </c>
      <c r="B957" s="14" t="n">
        <v>1.4549</v>
      </c>
      <c r="C957" t="inlineStr">
        <is>
          <t>После</t>
        </is>
      </c>
      <c r="D957" s="15">
        <f>B957/B956-1</f>
        <v/>
      </c>
      <c r="E957" s="16">
        <f>LN(B957/B956)</f>
        <v/>
      </c>
      <c r="F957" s="15">
        <f>_xlfn.STDEV.S(OFFSET(D957,-Описание!$B$12,0,Описание!$B$12,1))</f>
        <v/>
      </c>
      <c r="G957" s="15">
        <f>SQRT(Описание!$B$13*G956^2+(1-Описание!$B$13)*D956^2)</f>
        <v/>
      </c>
      <c r="H957" s="17">
        <f>Описание!$B$9*F957*Описание!$B$7</f>
        <v/>
      </c>
      <c r="I957" s="17">
        <f>Описание!$B$9*G957*Описание!$B$7</f>
        <v/>
      </c>
    </row>
    <row r="958">
      <c r="A958" s="13" t="n">
        <v>40086</v>
      </c>
      <c r="B958" s="14" t="n">
        <v>1.4643</v>
      </c>
      <c r="C958" t="inlineStr">
        <is>
          <t>После</t>
        </is>
      </c>
      <c r="D958" s="15">
        <f>B958/B957-1</f>
        <v/>
      </c>
      <c r="E958" s="16">
        <f>LN(B958/B957)</f>
        <v/>
      </c>
      <c r="F958" s="15">
        <f>_xlfn.STDEV.S(OFFSET(D958,-Описание!$B$12,0,Описание!$B$12,1))</f>
        <v/>
      </c>
      <c r="G958" s="15">
        <f>SQRT(Описание!$B$13*G957^2+(1-Описание!$B$13)*D957^2)</f>
        <v/>
      </c>
      <c r="H958" s="17">
        <f>Описание!$B$9*F958*Описание!$B$7</f>
        <v/>
      </c>
      <c r="I958" s="17">
        <f>Описание!$B$9*G958*Описание!$B$7</f>
        <v/>
      </c>
    </row>
    <row r="959">
      <c r="A959" s="13" t="n">
        <v>40087</v>
      </c>
      <c r="B959" s="14" t="n">
        <v>1.4539</v>
      </c>
      <c r="C959" t="inlineStr">
        <is>
          <t>После</t>
        </is>
      </c>
      <c r="D959" s="15">
        <f>B959/B958-1</f>
        <v/>
      </c>
      <c r="E959" s="16">
        <f>LN(B959/B958)</f>
        <v/>
      </c>
      <c r="F959" s="15">
        <f>_xlfn.STDEV.S(OFFSET(D959,-Описание!$B$12,0,Описание!$B$12,1))</f>
        <v/>
      </c>
      <c r="G959" s="15">
        <f>SQRT(Описание!$B$13*G958^2+(1-Описание!$B$13)*D958^2)</f>
        <v/>
      </c>
      <c r="H959" s="17">
        <f>Описание!$B$9*F959*Описание!$B$7</f>
        <v/>
      </c>
      <c r="I959" s="17">
        <f>Описание!$B$9*G959*Описание!$B$7</f>
        <v/>
      </c>
    </row>
    <row r="960">
      <c r="A960" s="13" t="n">
        <v>40088</v>
      </c>
      <c r="B960" s="14" t="n">
        <v>1.4537</v>
      </c>
      <c r="C960" t="inlineStr">
        <is>
          <t>После</t>
        </is>
      </c>
      <c r="D960" s="15">
        <f>B960/B959-1</f>
        <v/>
      </c>
      <c r="E960" s="16">
        <f>LN(B960/B959)</f>
        <v/>
      </c>
      <c r="F960" s="15">
        <f>_xlfn.STDEV.S(OFFSET(D960,-Описание!$B$12,0,Описание!$B$12,1))</f>
        <v/>
      </c>
      <c r="G960" s="15">
        <f>SQRT(Описание!$B$13*G959^2+(1-Описание!$B$13)*D959^2)</f>
        <v/>
      </c>
      <c r="H960" s="17">
        <f>Описание!$B$9*F960*Описание!$B$7</f>
        <v/>
      </c>
      <c r="I960" s="17">
        <f>Описание!$B$9*G960*Описание!$B$7</f>
        <v/>
      </c>
    </row>
    <row r="961">
      <c r="A961" s="13" t="n">
        <v>40091</v>
      </c>
      <c r="B961" s="14" t="n">
        <v>1.4616</v>
      </c>
      <c r="C961" t="inlineStr">
        <is>
          <t>После</t>
        </is>
      </c>
      <c r="D961" s="15">
        <f>B961/B960-1</f>
        <v/>
      </c>
      <c r="E961" s="16">
        <f>LN(B961/B960)</f>
        <v/>
      </c>
      <c r="F961" s="15">
        <f>_xlfn.STDEV.S(OFFSET(D961,-Описание!$B$12,0,Описание!$B$12,1))</f>
        <v/>
      </c>
      <c r="G961" s="15">
        <f>SQRT(Описание!$B$13*G960^2+(1-Описание!$B$13)*D960^2)</f>
        <v/>
      </c>
      <c r="H961" s="17">
        <f>Описание!$B$9*F961*Описание!$B$7</f>
        <v/>
      </c>
      <c r="I961" s="17">
        <f>Описание!$B$9*G961*Описание!$B$7</f>
        <v/>
      </c>
    </row>
    <row r="962">
      <c r="A962" s="13" t="n">
        <v>40092</v>
      </c>
      <c r="B962" s="14" t="n">
        <v>1.4722</v>
      </c>
      <c r="C962" t="inlineStr">
        <is>
          <t>После</t>
        </is>
      </c>
      <c r="D962" s="15">
        <f>B962/B961-1</f>
        <v/>
      </c>
      <c r="E962" s="16">
        <f>LN(B962/B961)</f>
        <v/>
      </c>
      <c r="F962" s="15">
        <f>_xlfn.STDEV.S(OFFSET(D962,-Описание!$B$12,0,Описание!$B$12,1))</f>
        <v/>
      </c>
      <c r="G962" s="15">
        <f>SQRT(Описание!$B$13*G961^2+(1-Описание!$B$13)*D961^2)</f>
        <v/>
      </c>
      <c r="H962" s="17">
        <f>Описание!$B$9*F962*Описание!$B$7</f>
        <v/>
      </c>
      <c r="I962" s="17">
        <f>Описание!$B$9*G962*Описание!$B$7</f>
        <v/>
      </c>
    </row>
    <row r="963">
      <c r="A963" s="13" t="n">
        <v>40093</v>
      </c>
      <c r="B963" s="14" t="n">
        <v>1.4694</v>
      </c>
      <c r="C963" t="inlineStr">
        <is>
          <t>После</t>
        </is>
      </c>
      <c r="D963" s="15">
        <f>B963/B962-1</f>
        <v/>
      </c>
      <c r="E963" s="16">
        <f>LN(B963/B962)</f>
        <v/>
      </c>
      <c r="F963" s="15">
        <f>_xlfn.STDEV.S(OFFSET(D963,-Описание!$B$12,0,Описание!$B$12,1))</f>
        <v/>
      </c>
      <c r="G963" s="15">
        <f>SQRT(Описание!$B$13*G962^2+(1-Описание!$B$13)*D962^2)</f>
        <v/>
      </c>
      <c r="H963" s="17">
        <f>Описание!$B$9*F963*Описание!$B$7</f>
        <v/>
      </c>
      <c r="I963" s="17">
        <f>Описание!$B$9*G963*Описание!$B$7</f>
        <v/>
      </c>
    </row>
    <row r="964">
      <c r="A964" s="13" t="n">
        <v>40094</v>
      </c>
      <c r="B964" s="14" t="n">
        <v>1.4763</v>
      </c>
      <c r="C964" t="inlineStr">
        <is>
          <t>После</t>
        </is>
      </c>
      <c r="D964" s="15">
        <f>B964/B963-1</f>
        <v/>
      </c>
      <c r="E964" s="16">
        <f>LN(B964/B963)</f>
        <v/>
      </c>
      <c r="F964" s="15">
        <f>_xlfn.STDEV.S(OFFSET(D964,-Описание!$B$12,0,Описание!$B$12,1))</f>
        <v/>
      </c>
      <c r="G964" s="15">
        <f>SQRT(Описание!$B$13*G963^2+(1-Описание!$B$13)*D963^2)</f>
        <v/>
      </c>
      <c r="H964" s="17">
        <f>Описание!$B$9*F964*Описание!$B$7</f>
        <v/>
      </c>
      <c r="I964" s="17">
        <f>Описание!$B$9*G964*Описание!$B$7</f>
        <v/>
      </c>
    </row>
    <row r="965">
      <c r="A965" s="13" t="n">
        <v>40095</v>
      </c>
      <c r="B965" s="14" t="n">
        <v>1.475</v>
      </c>
      <c r="C965" t="inlineStr">
        <is>
          <t>После</t>
        </is>
      </c>
      <c r="D965" s="15">
        <f>B965/B964-1</f>
        <v/>
      </c>
      <c r="E965" s="16">
        <f>LN(B965/B964)</f>
        <v/>
      </c>
      <c r="F965" s="15">
        <f>_xlfn.STDEV.S(OFFSET(D965,-Описание!$B$12,0,Описание!$B$12,1))</f>
        <v/>
      </c>
      <c r="G965" s="15">
        <f>SQRT(Описание!$B$13*G964^2+(1-Описание!$B$13)*D964^2)</f>
        <v/>
      </c>
      <c r="H965" s="17">
        <f>Описание!$B$9*F965*Описание!$B$7</f>
        <v/>
      </c>
      <c r="I965" s="17">
        <f>Описание!$B$9*G965*Описание!$B$7</f>
        <v/>
      </c>
    </row>
    <row r="966">
      <c r="A966" s="13" t="n">
        <v>40098</v>
      </c>
      <c r="B966" s="14" t="n">
        <v>1.4765</v>
      </c>
      <c r="C966" t="inlineStr">
        <is>
          <t>После</t>
        </is>
      </c>
      <c r="D966" s="15">
        <f>B966/B965-1</f>
        <v/>
      </c>
      <c r="E966" s="16">
        <f>LN(B966/B965)</f>
        <v/>
      </c>
      <c r="F966" s="15">
        <f>_xlfn.STDEV.S(OFFSET(D966,-Описание!$B$12,0,Описание!$B$12,1))</f>
        <v/>
      </c>
      <c r="G966" s="15">
        <f>SQRT(Описание!$B$13*G965^2+(1-Описание!$B$13)*D965^2)</f>
        <v/>
      </c>
      <c r="H966" s="17">
        <f>Описание!$B$9*F966*Описание!$B$7</f>
        <v/>
      </c>
      <c r="I966" s="17">
        <f>Описание!$B$9*G966*Описание!$B$7</f>
        <v/>
      </c>
    </row>
    <row r="967">
      <c r="A967" s="13" t="n">
        <v>40099</v>
      </c>
      <c r="B967" s="14" t="n">
        <v>1.4864</v>
      </c>
      <c r="C967" t="inlineStr">
        <is>
          <t>После</t>
        </is>
      </c>
      <c r="D967" s="15">
        <f>B967/B966-1</f>
        <v/>
      </c>
      <c r="E967" s="16">
        <f>LN(B967/B966)</f>
        <v/>
      </c>
      <c r="F967" s="15">
        <f>_xlfn.STDEV.S(OFFSET(D967,-Описание!$B$12,0,Описание!$B$12,1))</f>
        <v/>
      </c>
      <c r="G967" s="15">
        <f>SQRT(Описание!$B$13*G966^2+(1-Описание!$B$13)*D966^2)</f>
        <v/>
      </c>
      <c r="H967" s="17">
        <f>Описание!$B$9*F967*Описание!$B$7</f>
        <v/>
      </c>
      <c r="I967" s="17">
        <f>Описание!$B$9*G967*Описание!$B$7</f>
        <v/>
      </c>
    </row>
    <row r="968">
      <c r="A968" s="13" t="n">
        <v>40100</v>
      </c>
      <c r="B968" s="14" t="n">
        <v>1.4881</v>
      </c>
      <c r="C968" t="inlineStr">
        <is>
          <t>После</t>
        </is>
      </c>
      <c r="D968" s="15">
        <f>B968/B967-1</f>
        <v/>
      </c>
      <c r="E968" s="16">
        <f>LN(B968/B967)</f>
        <v/>
      </c>
      <c r="F968" s="15">
        <f>_xlfn.STDEV.S(OFFSET(D968,-Описание!$B$12,0,Описание!$B$12,1))</f>
        <v/>
      </c>
      <c r="G968" s="15">
        <f>SQRT(Описание!$B$13*G967^2+(1-Описание!$B$13)*D967^2)</f>
        <v/>
      </c>
      <c r="H968" s="17">
        <f>Описание!$B$9*F968*Описание!$B$7</f>
        <v/>
      </c>
      <c r="I968" s="17">
        <f>Описание!$B$9*G968*Описание!$B$7</f>
        <v/>
      </c>
    </row>
    <row r="969">
      <c r="A969" s="13" t="n">
        <v>40101</v>
      </c>
      <c r="B969" s="14" t="n">
        <v>1.4864</v>
      </c>
      <c r="C969" t="inlineStr">
        <is>
          <t>После</t>
        </is>
      </c>
      <c r="D969" s="15">
        <f>B969/B968-1</f>
        <v/>
      </c>
      <c r="E969" s="16">
        <f>LN(B969/B968)</f>
        <v/>
      </c>
      <c r="F969" s="15">
        <f>_xlfn.STDEV.S(OFFSET(D969,-Описание!$B$12,0,Описание!$B$12,1))</f>
        <v/>
      </c>
      <c r="G969" s="15">
        <f>SQRT(Описание!$B$13*G968^2+(1-Описание!$B$13)*D968^2)</f>
        <v/>
      </c>
      <c r="H969" s="17">
        <f>Описание!$B$9*F969*Описание!$B$7</f>
        <v/>
      </c>
      <c r="I969" s="17">
        <f>Описание!$B$9*G969*Описание!$B$7</f>
        <v/>
      </c>
    </row>
    <row r="970">
      <c r="A970" s="13" t="n">
        <v>40102</v>
      </c>
      <c r="B970" s="14" t="n">
        <v>1.4869</v>
      </c>
      <c r="C970" t="inlineStr">
        <is>
          <t>После</t>
        </is>
      </c>
      <c r="D970" s="15">
        <f>B970/B969-1</f>
        <v/>
      </c>
      <c r="E970" s="16">
        <f>LN(B970/B969)</f>
        <v/>
      </c>
      <c r="F970" s="15">
        <f>_xlfn.STDEV.S(OFFSET(D970,-Описание!$B$12,0,Описание!$B$12,1))</f>
        <v/>
      </c>
      <c r="G970" s="15">
        <f>SQRT(Описание!$B$13*G969^2+(1-Описание!$B$13)*D969^2)</f>
        <v/>
      </c>
      <c r="H970" s="17">
        <f>Описание!$B$9*F970*Описание!$B$7</f>
        <v/>
      </c>
      <c r="I970" s="17">
        <f>Описание!$B$9*G970*Описание!$B$7</f>
        <v/>
      </c>
    </row>
    <row r="971">
      <c r="A971" s="13" t="n">
        <v>40105</v>
      </c>
      <c r="B971" s="14" t="n">
        <v>1.4918</v>
      </c>
      <c r="C971" t="inlineStr">
        <is>
          <t>После</t>
        </is>
      </c>
      <c r="D971" s="15">
        <f>B971/B970-1</f>
        <v/>
      </c>
      <c r="E971" s="16">
        <f>LN(B971/B970)</f>
        <v/>
      </c>
      <c r="F971" s="15">
        <f>_xlfn.STDEV.S(OFFSET(D971,-Описание!$B$12,0,Описание!$B$12,1))</f>
        <v/>
      </c>
      <c r="G971" s="15">
        <f>SQRT(Описание!$B$13*G970^2+(1-Описание!$B$13)*D970^2)</f>
        <v/>
      </c>
      <c r="H971" s="17">
        <f>Описание!$B$9*F971*Описание!$B$7</f>
        <v/>
      </c>
      <c r="I971" s="17">
        <f>Описание!$B$9*G971*Описание!$B$7</f>
        <v/>
      </c>
    </row>
    <row r="972">
      <c r="A972" s="13" t="n">
        <v>40106</v>
      </c>
      <c r="B972" s="14" t="n">
        <v>1.4971</v>
      </c>
      <c r="C972" t="inlineStr">
        <is>
          <t>После</t>
        </is>
      </c>
      <c r="D972" s="15">
        <f>B972/B971-1</f>
        <v/>
      </c>
      <c r="E972" s="16">
        <f>LN(B972/B971)</f>
        <v/>
      </c>
      <c r="F972" s="15">
        <f>_xlfn.STDEV.S(OFFSET(D972,-Описание!$B$12,0,Описание!$B$12,1))</f>
        <v/>
      </c>
      <c r="G972" s="15">
        <f>SQRT(Описание!$B$13*G971^2+(1-Описание!$B$13)*D971^2)</f>
        <v/>
      </c>
      <c r="H972" s="17">
        <f>Описание!$B$9*F972*Описание!$B$7</f>
        <v/>
      </c>
      <c r="I972" s="17">
        <f>Описание!$B$9*G972*Описание!$B$7</f>
        <v/>
      </c>
    </row>
    <row r="973">
      <c r="A973" s="13" t="n">
        <v>40107</v>
      </c>
      <c r="B973" s="14" t="n">
        <v>1.4921</v>
      </c>
      <c r="C973" t="inlineStr">
        <is>
          <t>После</t>
        </is>
      </c>
      <c r="D973" s="15">
        <f>B973/B972-1</f>
        <v/>
      </c>
      <c r="E973" s="16">
        <f>LN(B973/B972)</f>
        <v/>
      </c>
      <c r="F973" s="15">
        <f>_xlfn.STDEV.S(OFFSET(D973,-Описание!$B$12,0,Описание!$B$12,1))</f>
        <v/>
      </c>
      <c r="G973" s="15">
        <f>SQRT(Описание!$B$13*G972^2+(1-Описание!$B$13)*D972^2)</f>
        <v/>
      </c>
      <c r="H973" s="17">
        <f>Описание!$B$9*F973*Описание!$B$7</f>
        <v/>
      </c>
      <c r="I973" s="17">
        <f>Описание!$B$9*G973*Описание!$B$7</f>
        <v/>
      </c>
    </row>
    <row r="974">
      <c r="A974" s="13" t="n">
        <v>40108</v>
      </c>
      <c r="B974" s="14" t="n">
        <v>1.5</v>
      </c>
      <c r="C974" t="inlineStr">
        <is>
          <t>После</t>
        </is>
      </c>
      <c r="D974" s="15">
        <f>B974/B973-1</f>
        <v/>
      </c>
      <c r="E974" s="16">
        <f>LN(B974/B973)</f>
        <v/>
      </c>
      <c r="F974" s="15">
        <f>_xlfn.STDEV.S(OFFSET(D974,-Описание!$B$12,0,Описание!$B$12,1))</f>
        <v/>
      </c>
      <c r="G974" s="15">
        <f>SQRT(Описание!$B$13*G973^2+(1-Описание!$B$13)*D973^2)</f>
        <v/>
      </c>
      <c r="H974" s="17">
        <f>Описание!$B$9*F974*Описание!$B$7</f>
        <v/>
      </c>
      <c r="I974" s="17">
        <f>Описание!$B$9*G974*Описание!$B$7</f>
        <v/>
      </c>
    </row>
    <row r="975">
      <c r="A975" s="13" t="n">
        <v>40109</v>
      </c>
      <c r="B975" s="14" t="n">
        <v>1.502</v>
      </c>
      <c r="C975" t="inlineStr">
        <is>
          <t>После</t>
        </is>
      </c>
      <c r="D975" s="15">
        <f>B975/B974-1</f>
        <v/>
      </c>
      <c r="E975" s="16">
        <f>LN(B975/B974)</f>
        <v/>
      </c>
      <c r="F975" s="15">
        <f>_xlfn.STDEV.S(OFFSET(D975,-Описание!$B$12,0,Описание!$B$12,1))</f>
        <v/>
      </c>
      <c r="G975" s="15">
        <f>SQRT(Описание!$B$13*G974^2+(1-Описание!$B$13)*D974^2)</f>
        <v/>
      </c>
      <c r="H975" s="17">
        <f>Описание!$B$9*F975*Описание!$B$7</f>
        <v/>
      </c>
      <c r="I975" s="17">
        <f>Описание!$B$9*G975*Описание!$B$7</f>
        <v/>
      </c>
    </row>
    <row r="976">
      <c r="A976" s="13" t="n">
        <v>40112</v>
      </c>
      <c r="B976" s="14" t="n">
        <v>1.5019</v>
      </c>
      <c r="C976" t="inlineStr">
        <is>
          <t>После</t>
        </is>
      </c>
      <c r="D976" s="15">
        <f>B976/B975-1</f>
        <v/>
      </c>
      <c r="E976" s="16">
        <f>LN(B976/B975)</f>
        <v/>
      </c>
      <c r="F976" s="15">
        <f>_xlfn.STDEV.S(OFFSET(D976,-Описание!$B$12,0,Описание!$B$12,1))</f>
        <v/>
      </c>
      <c r="G976" s="15">
        <f>SQRT(Описание!$B$13*G975^2+(1-Описание!$B$13)*D975^2)</f>
        <v/>
      </c>
      <c r="H976" s="17">
        <f>Описание!$B$9*F976*Описание!$B$7</f>
        <v/>
      </c>
      <c r="I976" s="17">
        <f>Описание!$B$9*G976*Описание!$B$7</f>
        <v/>
      </c>
    </row>
    <row r="977">
      <c r="A977" s="13" t="n">
        <v>40113</v>
      </c>
      <c r="B977" s="14" t="n">
        <v>1.4874</v>
      </c>
      <c r="C977" t="inlineStr">
        <is>
          <t>После</t>
        </is>
      </c>
      <c r="D977" s="15">
        <f>B977/B976-1</f>
        <v/>
      </c>
      <c r="E977" s="16">
        <f>LN(B977/B976)</f>
        <v/>
      </c>
      <c r="F977" s="15">
        <f>_xlfn.STDEV.S(OFFSET(D977,-Описание!$B$12,0,Описание!$B$12,1))</f>
        <v/>
      </c>
      <c r="G977" s="15">
        <f>SQRT(Описание!$B$13*G976^2+(1-Описание!$B$13)*D976^2)</f>
        <v/>
      </c>
      <c r="H977" s="17">
        <f>Описание!$B$9*F977*Описание!$B$7</f>
        <v/>
      </c>
      <c r="I977" s="17">
        <f>Описание!$B$9*G977*Описание!$B$7</f>
        <v/>
      </c>
    </row>
    <row r="978">
      <c r="A978" s="13" t="n">
        <v>40114</v>
      </c>
      <c r="B978" s="14" t="n">
        <v>1.4785</v>
      </c>
      <c r="C978" t="inlineStr">
        <is>
          <t>После</t>
        </is>
      </c>
      <c r="D978" s="15">
        <f>B978/B977-1</f>
        <v/>
      </c>
      <c r="E978" s="16">
        <f>LN(B978/B977)</f>
        <v/>
      </c>
      <c r="F978" s="15">
        <f>_xlfn.STDEV.S(OFFSET(D978,-Описание!$B$12,0,Описание!$B$12,1))</f>
        <v/>
      </c>
      <c r="G978" s="15">
        <f>SQRT(Описание!$B$13*G977^2+(1-Описание!$B$13)*D977^2)</f>
        <v/>
      </c>
      <c r="H978" s="17">
        <f>Описание!$B$9*F978*Описание!$B$7</f>
        <v/>
      </c>
      <c r="I978" s="17">
        <f>Описание!$B$9*G978*Описание!$B$7</f>
        <v/>
      </c>
    </row>
    <row r="979">
      <c r="A979" s="13" t="n">
        <v>40115</v>
      </c>
      <c r="B979" s="14" t="n">
        <v>1.4788</v>
      </c>
      <c r="C979" t="inlineStr">
        <is>
          <t>После</t>
        </is>
      </c>
      <c r="D979" s="15">
        <f>B979/B978-1</f>
        <v/>
      </c>
      <c r="E979" s="16">
        <f>LN(B979/B978)</f>
        <v/>
      </c>
      <c r="F979" s="15">
        <f>_xlfn.STDEV.S(OFFSET(D979,-Описание!$B$12,0,Описание!$B$12,1))</f>
        <v/>
      </c>
      <c r="G979" s="15">
        <f>SQRT(Описание!$B$13*G978^2+(1-Описание!$B$13)*D978^2)</f>
        <v/>
      </c>
      <c r="H979" s="17">
        <f>Описание!$B$9*F979*Описание!$B$7</f>
        <v/>
      </c>
      <c r="I979" s="17">
        <f>Описание!$B$9*G979*Описание!$B$7</f>
        <v/>
      </c>
    </row>
    <row r="980">
      <c r="A980" s="13" t="n">
        <v>40116</v>
      </c>
      <c r="B980" s="14" t="n">
        <v>1.48</v>
      </c>
      <c r="C980" t="inlineStr">
        <is>
          <t>После</t>
        </is>
      </c>
      <c r="D980" s="15">
        <f>B980/B979-1</f>
        <v/>
      </c>
      <c r="E980" s="16">
        <f>LN(B980/B979)</f>
        <v/>
      </c>
      <c r="F980" s="15">
        <f>_xlfn.STDEV.S(OFFSET(D980,-Описание!$B$12,0,Описание!$B$12,1))</f>
        <v/>
      </c>
      <c r="G980" s="15">
        <f>SQRT(Описание!$B$13*G979^2+(1-Описание!$B$13)*D979^2)</f>
        <v/>
      </c>
      <c r="H980" s="17">
        <f>Описание!$B$9*F980*Описание!$B$7</f>
        <v/>
      </c>
      <c r="I980" s="17">
        <f>Описание!$B$9*G980*Описание!$B$7</f>
        <v/>
      </c>
    </row>
    <row r="981">
      <c r="A981" s="13" t="n">
        <v>40119</v>
      </c>
      <c r="B981" s="14" t="n">
        <v>1.4772</v>
      </c>
      <c r="C981" t="inlineStr">
        <is>
          <t>После</t>
        </is>
      </c>
      <c r="D981" s="15">
        <f>B981/B980-1</f>
        <v/>
      </c>
      <c r="E981" s="16">
        <f>LN(B981/B980)</f>
        <v/>
      </c>
      <c r="F981" s="15">
        <f>_xlfn.STDEV.S(OFFSET(D981,-Описание!$B$12,0,Описание!$B$12,1))</f>
        <v/>
      </c>
      <c r="G981" s="15">
        <f>SQRT(Описание!$B$13*G980^2+(1-Описание!$B$13)*D980^2)</f>
        <v/>
      </c>
      <c r="H981" s="17">
        <f>Описание!$B$9*F981*Описание!$B$7</f>
        <v/>
      </c>
      <c r="I981" s="17">
        <f>Описание!$B$9*G981*Описание!$B$7</f>
        <v/>
      </c>
    </row>
    <row r="982">
      <c r="A982" s="13" t="n">
        <v>40120</v>
      </c>
      <c r="B982" s="14" t="n">
        <v>1.4658</v>
      </c>
      <c r="C982" t="inlineStr">
        <is>
          <t>После</t>
        </is>
      </c>
      <c r="D982" s="15">
        <f>B982/B981-1</f>
        <v/>
      </c>
      <c r="E982" s="16">
        <f>LN(B982/B981)</f>
        <v/>
      </c>
      <c r="F982" s="15">
        <f>_xlfn.STDEV.S(OFFSET(D982,-Описание!$B$12,0,Описание!$B$12,1))</f>
        <v/>
      </c>
      <c r="G982" s="15">
        <f>SQRT(Описание!$B$13*G981^2+(1-Описание!$B$13)*D981^2)</f>
        <v/>
      </c>
      <c r="H982" s="17">
        <f>Описание!$B$9*F982*Описание!$B$7</f>
        <v/>
      </c>
      <c r="I982" s="17">
        <f>Описание!$B$9*G982*Описание!$B$7</f>
        <v/>
      </c>
    </row>
    <row r="983">
      <c r="A983" s="13" t="n">
        <v>40121</v>
      </c>
      <c r="B983" s="14" t="n">
        <v>1.4761</v>
      </c>
      <c r="C983" t="inlineStr">
        <is>
          <t>После</t>
        </is>
      </c>
      <c r="D983" s="15">
        <f>B983/B982-1</f>
        <v/>
      </c>
      <c r="E983" s="16">
        <f>LN(B983/B982)</f>
        <v/>
      </c>
      <c r="F983" s="15">
        <f>_xlfn.STDEV.S(OFFSET(D983,-Описание!$B$12,0,Описание!$B$12,1))</f>
        <v/>
      </c>
      <c r="G983" s="15">
        <f>SQRT(Описание!$B$13*G982^2+(1-Описание!$B$13)*D982^2)</f>
        <v/>
      </c>
      <c r="H983" s="17">
        <f>Описание!$B$9*F983*Описание!$B$7</f>
        <v/>
      </c>
      <c r="I983" s="17">
        <f>Описание!$B$9*G983*Описание!$B$7</f>
        <v/>
      </c>
    </row>
    <row r="984">
      <c r="A984" s="13" t="n">
        <v>40122</v>
      </c>
      <c r="B984" s="14" t="n">
        <v>1.4867</v>
      </c>
      <c r="C984" t="inlineStr">
        <is>
          <t>После</t>
        </is>
      </c>
      <c r="D984" s="15">
        <f>B984/B983-1</f>
        <v/>
      </c>
      <c r="E984" s="16">
        <f>LN(B984/B983)</f>
        <v/>
      </c>
      <c r="F984" s="15">
        <f>_xlfn.STDEV.S(OFFSET(D984,-Описание!$B$12,0,Описание!$B$12,1))</f>
        <v/>
      </c>
      <c r="G984" s="15">
        <f>SQRT(Описание!$B$13*G983^2+(1-Описание!$B$13)*D983^2)</f>
        <v/>
      </c>
      <c r="H984" s="17">
        <f>Описание!$B$9*F984*Описание!$B$7</f>
        <v/>
      </c>
      <c r="I984" s="17">
        <f>Описание!$B$9*G984*Описание!$B$7</f>
        <v/>
      </c>
    </row>
    <row r="985">
      <c r="A985" s="13" t="n">
        <v>40123</v>
      </c>
      <c r="B985" s="14" t="n">
        <v>1.4862</v>
      </c>
      <c r="C985" t="inlineStr">
        <is>
          <t>После</t>
        </is>
      </c>
      <c r="D985" s="15">
        <f>B985/B984-1</f>
        <v/>
      </c>
      <c r="E985" s="16">
        <f>LN(B985/B984)</f>
        <v/>
      </c>
      <c r="F985" s="15">
        <f>_xlfn.STDEV.S(OFFSET(D985,-Описание!$B$12,0,Описание!$B$12,1))</f>
        <v/>
      </c>
      <c r="G985" s="15">
        <f>SQRT(Описание!$B$13*G984^2+(1-Описание!$B$13)*D984^2)</f>
        <v/>
      </c>
      <c r="H985" s="17">
        <f>Описание!$B$9*F985*Описание!$B$7</f>
        <v/>
      </c>
      <c r="I985" s="17">
        <f>Описание!$B$9*G985*Описание!$B$7</f>
        <v/>
      </c>
    </row>
    <row r="986">
      <c r="A986" s="13" t="n">
        <v>40126</v>
      </c>
      <c r="B986" s="14" t="n">
        <v>1.4984</v>
      </c>
      <c r="C986" t="inlineStr">
        <is>
          <t>После</t>
        </is>
      </c>
      <c r="D986" s="15">
        <f>B986/B985-1</f>
        <v/>
      </c>
      <c r="E986" s="16">
        <f>LN(B986/B985)</f>
        <v/>
      </c>
      <c r="F986" s="15">
        <f>_xlfn.STDEV.S(OFFSET(D986,-Описание!$B$12,0,Описание!$B$12,1))</f>
        <v/>
      </c>
      <c r="G986" s="15">
        <f>SQRT(Описание!$B$13*G985^2+(1-Описание!$B$13)*D985^2)</f>
        <v/>
      </c>
      <c r="H986" s="17">
        <f>Описание!$B$9*F986*Описание!$B$7</f>
        <v/>
      </c>
      <c r="I986" s="17">
        <f>Описание!$B$9*G986*Описание!$B$7</f>
        <v/>
      </c>
    </row>
    <row r="987">
      <c r="A987" s="13" t="n">
        <v>40127</v>
      </c>
      <c r="B987" s="14" t="n">
        <v>1.4966</v>
      </c>
      <c r="C987" t="inlineStr">
        <is>
          <t>После</t>
        </is>
      </c>
      <c r="D987" s="15">
        <f>B987/B986-1</f>
        <v/>
      </c>
      <c r="E987" s="16">
        <f>LN(B987/B986)</f>
        <v/>
      </c>
      <c r="F987" s="15">
        <f>_xlfn.STDEV.S(OFFSET(D987,-Описание!$B$12,0,Описание!$B$12,1))</f>
        <v/>
      </c>
      <c r="G987" s="15">
        <f>SQRT(Описание!$B$13*G986^2+(1-Описание!$B$13)*D986^2)</f>
        <v/>
      </c>
      <c r="H987" s="17">
        <f>Описание!$B$9*F987*Описание!$B$7</f>
        <v/>
      </c>
      <c r="I987" s="17">
        <f>Описание!$B$9*G987*Описание!$B$7</f>
        <v/>
      </c>
    </row>
    <row r="988">
      <c r="A988" s="13" t="n">
        <v>40128</v>
      </c>
      <c r="B988" s="14" t="n">
        <v>1.5037</v>
      </c>
      <c r="C988" t="inlineStr">
        <is>
          <t>После</t>
        </is>
      </c>
      <c r="D988" s="15">
        <f>B988/B987-1</f>
        <v/>
      </c>
      <c r="E988" s="16">
        <f>LN(B988/B987)</f>
        <v/>
      </c>
      <c r="F988" s="15">
        <f>_xlfn.STDEV.S(OFFSET(D988,-Описание!$B$12,0,Описание!$B$12,1))</f>
        <v/>
      </c>
      <c r="G988" s="15">
        <f>SQRT(Описание!$B$13*G987^2+(1-Описание!$B$13)*D987^2)</f>
        <v/>
      </c>
      <c r="H988" s="17">
        <f>Описание!$B$9*F988*Описание!$B$7</f>
        <v/>
      </c>
      <c r="I988" s="17">
        <f>Описание!$B$9*G988*Описание!$B$7</f>
        <v/>
      </c>
    </row>
    <row r="989">
      <c r="A989" s="13" t="n">
        <v>40129</v>
      </c>
      <c r="B989" s="14" t="n">
        <v>1.4922</v>
      </c>
      <c r="C989" t="inlineStr">
        <is>
          <t>После</t>
        </is>
      </c>
      <c r="D989" s="15">
        <f>B989/B988-1</f>
        <v/>
      </c>
      <c r="E989" s="16">
        <f>LN(B989/B988)</f>
        <v/>
      </c>
      <c r="F989" s="15">
        <f>_xlfn.STDEV.S(OFFSET(D989,-Описание!$B$12,0,Описание!$B$12,1))</f>
        <v/>
      </c>
      <c r="G989" s="15">
        <f>SQRT(Описание!$B$13*G988^2+(1-Описание!$B$13)*D988^2)</f>
        <v/>
      </c>
      <c r="H989" s="17">
        <f>Описание!$B$9*F989*Описание!$B$7</f>
        <v/>
      </c>
      <c r="I989" s="17">
        <f>Описание!$B$9*G989*Описание!$B$7</f>
        <v/>
      </c>
    </row>
    <row r="990">
      <c r="A990" s="13" t="n">
        <v>40130</v>
      </c>
      <c r="B990" s="14" t="n">
        <v>1.4868</v>
      </c>
      <c r="C990" t="inlineStr">
        <is>
          <t>После</t>
        </is>
      </c>
      <c r="D990" s="15">
        <f>B990/B989-1</f>
        <v/>
      </c>
      <c r="E990" s="16">
        <f>LN(B990/B989)</f>
        <v/>
      </c>
      <c r="F990" s="15">
        <f>_xlfn.STDEV.S(OFFSET(D990,-Описание!$B$12,0,Описание!$B$12,1))</f>
        <v/>
      </c>
      <c r="G990" s="15">
        <f>SQRT(Описание!$B$13*G989^2+(1-Описание!$B$13)*D989^2)</f>
        <v/>
      </c>
      <c r="H990" s="17">
        <f>Описание!$B$9*F990*Описание!$B$7</f>
        <v/>
      </c>
      <c r="I990" s="17">
        <f>Описание!$B$9*G990*Описание!$B$7</f>
        <v/>
      </c>
    </row>
    <row r="991">
      <c r="A991" s="13" t="n">
        <v>40133</v>
      </c>
      <c r="B991" s="14" t="n">
        <v>1.4965</v>
      </c>
      <c r="C991" t="inlineStr">
        <is>
          <t>После</t>
        </is>
      </c>
      <c r="D991" s="15">
        <f>B991/B990-1</f>
        <v/>
      </c>
      <c r="E991" s="16">
        <f>LN(B991/B990)</f>
        <v/>
      </c>
      <c r="F991" s="15">
        <f>_xlfn.STDEV.S(OFFSET(D991,-Описание!$B$12,0,Описание!$B$12,1))</f>
        <v/>
      </c>
      <c r="G991" s="15">
        <f>SQRT(Описание!$B$13*G990^2+(1-Описание!$B$13)*D990^2)</f>
        <v/>
      </c>
      <c r="H991" s="17">
        <f>Описание!$B$9*F991*Описание!$B$7</f>
        <v/>
      </c>
      <c r="I991" s="17">
        <f>Описание!$B$9*G991*Описание!$B$7</f>
        <v/>
      </c>
    </row>
    <row r="992">
      <c r="A992" s="13" t="n">
        <v>40134</v>
      </c>
      <c r="B992" s="14" t="n">
        <v>1.4875</v>
      </c>
      <c r="C992" t="inlineStr">
        <is>
          <t>После</t>
        </is>
      </c>
      <c r="D992" s="15">
        <f>B992/B991-1</f>
        <v/>
      </c>
      <c r="E992" s="16">
        <f>LN(B992/B991)</f>
        <v/>
      </c>
      <c r="F992" s="15">
        <f>_xlfn.STDEV.S(OFFSET(D992,-Описание!$B$12,0,Описание!$B$12,1))</f>
        <v/>
      </c>
      <c r="G992" s="15">
        <f>SQRT(Описание!$B$13*G991^2+(1-Описание!$B$13)*D991^2)</f>
        <v/>
      </c>
      <c r="H992" s="17">
        <f>Описание!$B$9*F992*Описание!$B$7</f>
        <v/>
      </c>
      <c r="I992" s="17">
        <f>Описание!$B$9*G992*Описание!$B$7</f>
        <v/>
      </c>
    </row>
    <row r="993">
      <c r="A993" s="13" t="n">
        <v>40135</v>
      </c>
      <c r="B993" s="14" t="n">
        <v>1.4957</v>
      </c>
      <c r="C993" t="inlineStr">
        <is>
          <t>После</t>
        </is>
      </c>
      <c r="D993" s="15">
        <f>B993/B992-1</f>
        <v/>
      </c>
      <c r="E993" s="16">
        <f>LN(B993/B992)</f>
        <v/>
      </c>
      <c r="F993" s="15">
        <f>_xlfn.STDEV.S(OFFSET(D993,-Описание!$B$12,0,Описание!$B$12,1))</f>
        <v/>
      </c>
      <c r="G993" s="15">
        <f>SQRT(Описание!$B$13*G992^2+(1-Описание!$B$13)*D992^2)</f>
        <v/>
      </c>
      <c r="H993" s="17">
        <f>Описание!$B$9*F993*Описание!$B$7</f>
        <v/>
      </c>
      <c r="I993" s="17">
        <f>Описание!$B$9*G993*Описание!$B$7</f>
        <v/>
      </c>
    </row>
    <row r="994">
      <c r="A994" s="13" t="n">
        <v>40136</v>
      </c>
      <c r="B994" s="14" t="n">
        <v>1.4863</v>
      </c>
      <c r="C994" t="inlineStr">
        <is>
          <t>После</t>
        </is>
      </c>
      <c r="D994" s="15">
        <f>B994/B993-1</f>
        <v/>
      </c>
      <c r="E994" s="16">
        <f>LN(B994/B993)</f>
        <v/>
      </c>
      <c r="F994" s="15">
        <f>_xlfn.STDEV.S(OFFSET(D994,-Описание!$B$12,0,Описание!$B$12,1))</f>
        <v/>
      </c>
      <c r="G994" s="15">
        <f>SQRT(Описание!$B$13*G993^2+(1-Описание!$B$13)*D993^2)</f>
        <v/>
      </c>
      <c r="H994" s="17">
        <f>Описание!$B$9*F994*Описание!$B$7</f>
        <v/>
      </c>
      <c r="I994" s="17">
        <f>Описание!$B$9*G994*Описание!$B$7</f>
        <v/>
      </c>
    </row>
    <row r="995">
      <c r="A995" s="13" t="n">
        <v>40137</v>
      </c>
      <c r="B995" s="14" t="n">
        <v>1.4815</v>
      </c>
      <c r="C995" t="inlineStr">
        <is>
          <t>После</t>
        </is>
      </c>
      <c r="D995" s="15">
        <f>B995/B994-1</f>
        <v/>
      </c>
      <c r="E995" s="16">
        <f>LN(B995/B994)</f>
        <v/>
      </c>
      <c r="F995" s="15">
        <f>_xlfn.STDEV.S(OFFSET(D995,-Описание!$B$12,0,Описание!$B$12,1))</f>
        <v/>
      </c>
      <c r="G995" s="15">
        <f>SQRT(Описание!$B$13*G994^2+(1-Описание!$B$13)*D994^2)</f>
        <v/>
      </c>
      <c r="H995" s="17">
        <f>Описание!$B$9*F995*Описание!$B$7</f>
        <v/>
      </c>
      <c r="I995" s="17">
        <f>Описание!$B$9*G995*Описание!$B$7</f>
        <v/>
      </c>
    </row>
    <row r="996">
      <c r="A996" s="13" t="n">
        <v>40140</v>
      </c>
      <c r="B996" s="14" t="n">
        <v>1.4968</v>
      </c>
      <c r="C996" t="inlineStr">
        <is>
          <t>После</t>
        </is>
      </c>
      <c r="D996" s="15">
        <f>B996/B995-1</f>
        <v/>
      </c>
      <c r="E996" s="16">
        <f>LN(B996/B995)</f>
        <v/>
      </c>
      <c r="F996" s="15">
        <f>_xlfn.STDEV.S(OFFSET(D996,-Описание!$B$12,0,Описание!$B$12,1))</f>
        <v/>
      </c>
      <c r="G996" s="15">
        <f>SQRT(Описание!$B$13*G995^2+(1-Описание!$B$13)*D995^2)</f>
        <v/>
      </c>
      <c r="H996" s="17">
        <f>Описание!$B$9*F996*Описание!$B$7</f>
        <v/>
      </c>
      <c r="I996" s="17">
        <f>Описание!$B$9*G996*Описание!$B$7</f>
        <v/>
      </c>
    </row>
    <row r="997">
      <c r="A997" s="13" t="n">
        <v>40141</v>
      </c>
      <c r="B997" s="14" t="n">
        <v>1.4969</v>
      </c>
      <c r="C997" t="inlineStr">
        <is>
          <t>После</t>
        </is>
      </c>
      <c r="D997" s="15">
        <f>B997/B996-1</f>
        <v/>
      </c>
      <c r="E997" s="16">
        <f>LN(B997/B996)</f>
        <v/>
      </c>
      <c r="F997" s="15">
        <f>_xlfn.STDEV.S(OFFSET(D997,-Описание!$B$12,0,Описание!$B$12,1))</f>
        <v/>
      </c>
      <c r="G997" s="15">
        <f>SQRT(Описание!$B$13*G996^2+(1-Описание!$B$13)*D996^2)</f>
        <v/>
      </c>
      <c r="H997" s="17">
        <f>Описание!$B$9*F997*Описание!$B$7</f>
        <v/>
      </c>
      <c r="I997" s="17">
        <f>Описание!$B$9*G997*Описание!$B$7</f>
        <v/>
      </c>
    </row>
    <row r="998">
      <c r="A998" s="13" t="n">
        <v>40142</v>
      </c>
      <c r="B998" s="14" t="n">
        <v>1.5083</v>
      </c>
      <c r="C998" t="inlineStr">
        <is>
          <t>После</t>
        </is>
      </c>
      <c r="D998" s="15">
        <f>B998/B997-1</f>
        <v/>
      </c>
      <c r="E998" s="16">
        <f>LN(B998/B997)</f>
        <v/>
      </c>
      <c r="F998" s="15">
        <f>_xlfn.STDEV.S(OFFSET(D998,-Описание!$B$12,0,Описание!$B$12,1))</f>
        <v/>
      </c>
      <c r="G998" s="15">
        <f>SQRT(Описание!$B$13*G997^2+(1-Описание!$B$13)*D997^2)</f>
        <v/>
      </c>
      <c r="H998" s="17">
        <f>Описание!$B$9*F998*Описание!$B$7</f>
        <v/>
      </c>
      <c r="I998" s="17">
        <f>Описание!$B$9*G998*Описание!$B$7</f>
        <v/>
      </c>
    </row>
    <row r="999">
      <c r="A999" s="13" t="n">
        <v>40143</v>
      </c>
      <c r="B999" s="14" t="n">
        <v>1.5071</v>
      </c>
      <c r="C999" t="inlineStr">
        <is>
          <t>После</t>
        </is>
      </c>
      <c r="D999" s="15">
        <f>B999/B998-1</f>
        <v/>
      </c>
      <c r="E999" s="16">
        <f>LN(B999/B998)</f>
        <v/>
      </c>
      <c r="F999" s="15">
        <f>_xlfn.STDEV.S(OFFSET(D999,-Описание!$B$12,0,Описание!$B$12,1))</f>
        <v/>
      </c>
      <c r="G999" s="15">
        <f>SQRT(Описание!$B$13*G998^2+(1-Описание!$B$13)*D998^2)</f>
        <v/>
      </c>
      <c r="H999" s="17">
        <f>Описание!$B$9*F999*Описание!$B$7</f>
        <v/>
      </c>
      <c r="I999" s="17">
        <f>Описание!$B$9*G999*Описание!$B$7</f>
        <v/>
      </c>
    </row>
    <row r="1000">
      <c r="A1000" s="13" t="n">
        <v>40144</v>
      </c>
      <c r="B1000" s="14" t="n">
        <v>1.4918</v>
      </c>
      <c r="C1000" t="inlineStr">
        <is>
          <t>После</t>
        </is>
      </c>
      <c r="D1000" s="15">
        <f>B1000/B999-1</f>
        <v/>
      </c>
      <c r="E1000" s="16">
        <f>LN(B1000/B999)</f>
        <v/>
      </c>
      <c r="F1000" s="15">
        <f>_xlfn.STDEV.S(OFFSET(D1000,-Описание!$B$12,0,Описание!$B$12,1))</f>
        <v/>
      </c>
      <c r="G1000" s="15">
        <f>SQRT(Описание!$B$13*G999^2+(1-Описание!$B$13)*D999^2)</f>
        <v/>
      </c>
      <c r="H1000" s="17">
        <f>Описание!$B$9*F1000*Описание!$B$7</f>
        <v/>
      </c>
      <c r="I1000" s="17">
        <f>Описание!$B$9*G1000*Описание!$B$7</f>
        <v/>
      </c>
    </row>
    <row r="1001">
      <c r="A1001" s="13" t="n">
        <v>40147</v>
      </c>
      <c r="B1001" s="14" t="n">
        <v>1.5023</v>
      </c>
      <c r="C1001" t="inlineStr">
        <is>
          <t>После</t>
        </is>
      </c>
      <c r="D1001" s="15">
        <f>B1001/B1000-1</f>
        <v/>
      </c>
      <c r="E1001" s="16">
        <f>LN(B1001/B1000)</f>
        <v/>
      </c>
      <c r="F1001" s="15">
        <f>_xlfn.STDEV.S(OFFSET(D1001,-Описание!$B$12,0,Описание!$B$12,1))</f>
        <v/>
      </c>
      <c r="G1001" s="15">
        <f>SQRT(Описание!$B$13*G1000^2+(1-Описание!$B$13)*D1000^2)</f>
        <v/>
      </c>
      <c r="H1001" s="17">
        <f>Описание!$B$9*F1001*Описание!$B$7</f>
        <v/>
      </c>
      <c r="I1001" s="17">
        <f>Описание!$B$9*G1001*Описание!$B$7</f>
        <v/>
      </c>
    </row>
    <row r="1002">
      <c r="A1002" s="13" t="n">
        <v>40148</v>
      </c>
      <c r="B1002" s="14" t="n">
        <v>1.5074</v>
      </c>
      <c r="C1002" t="inlineStr">
        <is>
          <t>После</t>
        </is>
      </c>
      <c r="D1002" s="15">
        <f>B1002/B1001-1</f>
        <v/>
      </c>
      <c r="E1002" s="16">
        <f>LN(B1002/B1001)</f>
        <v/>
      </c>
      <c r="F1002" s="15">
        <f>_xlfn.STDEV.S(OFFSET(D1002,-Описание!$B$12,0,Описание!$B$12,1))</f>
        <v/>
      </c>
      <c r="G1002" s="15">
        <f>SQRT(Описание!$B$13*G1001^2+(1-Описание!$B$13)*D1001^2)</f>
        <v/>
      </c>
      <c r="H1002" s="17">
        <f>Описание!$B$9*F1002*Описание!$B$7</f>
        <v/>
      </c>
      <c r="I1002" s="17">
        <f>Описание!$B$9*G1002*Описание!$B$7</f>
        <v/>
      </c>
    </row>
    <row r="1003">
      <c r="A1003" s="13" t="n">
        <v>40149</v>
      </c>
      <c r="B1003" s="14" t="n">
        <v>1.509</v>
      </c>
      <c r="C1003" t="inlineStr">
        <is>
          <t>После</t>
        </is>
      </c>
      <c r="D1003" s="15">
        <f>B1003/B1002-1</f>
        <v/>
      </c>
      <c r="E1003" s="16">
        <f>LN(B1003/B1002)</f>
        <v/>
      </c>
      <c r="F1003" s="15">
        <f>_xlfn.STDEV.S(OFFSET(D1003,-Описание!$B$12,0,Описание!$B$12,1))</f>
        <v/>
      </c>
      <c r="G1003" s="15">
        <f>SQRT(Описание!$B$13*G1002^2+(1-Описание!$B$13)*D1002^2)</f>
        <v/>
      </c>
      <c r="H1003" s="17">
        <f>Описание!$B$9*F1003*Описание!$B$7</f>
        <v/>
      </c>
      <c r="I1003" s="17">
        <f>Описание!$B$9*G1003*Описание!$B$7</f>
        <v/>
      </c>
    </row>
    <row r="1004">
      <c r="A1004" s="13" t="n">
        <v>40150</v>
      </c>
      <c r="B1004" s="14" t="n">
        <v>1.512</v>
      </c>
      <c r="C1004" t="inlineStr">
        <is>
          <t>После</t>
        </is>
      </c>
      <c r="D1004" s="15">
        <f>B1004/B1003-1</f>
        <v/>
      </c>
      <c r="E1004" s="16">
        <f>LN(B1004/B1003)</f>
        <v/>
      </c>
      <c r="F1004" s="15">
        <f>_xlfn.STDEV.S(OFFSET(D1004,-Описание!$B$12,0,Описание!$B$12,1))</f>
        <v/>
      </c>
      <c r="G1004" s="15">
        <f>SQRT(Описание!$B$13*G1003^2+(1-Описание!$B$13)*D1003^2)</f>
        <v/>
      </c>
      <c r="H1004" s="17">
        <f>Описание!$B$9*F1004*Описание!$B$7</f>
        <v/>
      </c>
      <c r="I1004" s="17">
        <f>Описание!$B$9*G1004*Описание!$B$7</f>
        <v/>
      </c>
    </row>
    <row r="1005">
      <c r="A1005" s="13" t="n">
        <v>40151</v>
      </c>
      <c r="B1005" s="14" t="n">
        <v>1.5068</v>
      </c>
      <c r="C1005" t="inlineStr">
        <is>
          <t>После</t>
        </is>
      </c>
      <c r="D1005" s="15">
        <f>B1005/B1004-1</f>
        <v/>
      </c>
      <c r="E1005" s="16">
        <f>LN(B1005/B1004)</f>
        <v/>
      </c>
      <c r="F1005" s="15">
        <f>_xlfn.STDEV.S(OFFSET(D1005,-Описание!$B$12,0,Описание!$B$12,1))</f>
        <v/>
      </c>
      <c r="G1005" s="15">
        <f>SQRT(Описание!$B$13*G1004^2+(1-Описание!$B$13)*D1004^2)</f>
        <v/>
      </c>
      <c r="H1005" s="17">
        <f>Описание!$B$9*F1005*Описание!$B$7</f>
        <v/>
      </c>
      <c r="I1005" s="17">
        <f>Описание!$B$9*G1005*Описание!$B$7</f>
        <v/>
      </c>
    </row>
    <row r="1006">
      <c r="A1006" s="13" t="n">
        <v>40154</v>
      </c>
      <c r="B1006" s="14" t="n">
        <v>1.4787</v>
      </c>
      <c r="C1006" t="inlineStr">
        <is>
          <t>После</t>
        </is>
      </c>
      <c r="D1006" s="15">
        <f>B1006/B1005-1</f>
        <v/>
      </c>
      <c r="E1006" s="16">
        <f>LN(B1006/B1005)</f>
        <v/>
      </c>
      <c r="F1006" s="15">
        <f>_xlfn.STDEV.S(OFFSET(D1006,-Описание!$B$12,0,Описание!$B$12,1))</f>
        <v/>
      </c>
      <c r="G1006" s="15">
        <f>SQRT(Описание!$B$13*G1005^2+(1-Описание!$B$13)*D1005^2)</f>
        <v/>
      </c>
      <c r="H1006" s="17">
        <f>Описание!$B$9*F1006*Описание!$B$7</f>
        <v/>
      </c>
      <c r="I1006" s="17">
        <f>Описание!$B$9*G1006*Описание!$B$7</f>
        <v/>
      </c>
    </row>
    <row r="1007">
      <c r="A1007" s="13" t="n">
        <v>40155</v>
      </c>
      <c r="B1007" s="14" t="n">
        <v>1.4774</v>
      </c>
      <c r="C1007" t="inlineStr">
        <is>
          <t>После</t>
        </is>
      </c>
      <c r="D1007" s="15">
        <f>B1007/B1006-1</f>
        <v/>
      </c>
      <c r="E1007" s="16">
        <f>LN(B1007/B1006)</f>
        <v/>
      </c>
      <c r="F1007" s="15">
        <f>_xlfn.STDEV.S(OFFSET(D1007,-Описание!$B$12,0,Описание!$B$12,1))</f>
        <v/>
      </c>
      <c r="G1007" s="15">
        <f>SQRT(Описание!$B$13*G1006^2+(1-Описание!$B$13)*D1006^2)</f>
        <v/>
      </c>
      <c r="H1007" s="17">
        <f>Описание!$B$9*F1007*Описание!$B$7</f>
        <v/>
      </c>
      <c r="I1007" s="17">
        <f>Описание!$B$9*G1007*Описание!$B$7</f>
        <v/>
      </c>
    </row>
    <row r="1008">
      <c r="A1008" s="13" t="n">
        <v>40156</v>
      </c>
      <c r="B1008" s="14" t="n">
        <v>1.4768</v>
      </c>
      <c r="C1008" t="inlineStr">
        <is>
          <t>После</t>
        </is>
      </c>
      <c r="D1008" s="15">
        <f>B1008/B1007-1</f>
        <v/>
      </c>
      <c r="E1008" s="16">
        <f>LN(B1008/B1007)</f>
        <v/>
      </c>
      <c r="F1008" s="15">
        <f>_xlfn.STDEV.S(OFFSET(D1008,-Описание!$B$12,0,Описание!$B$12,1))</f>
        <v/>
      </c>
      <c r="G1008" s="15">
        <f>SQRT(Описание!$B$13*G1007^2+(1-Описание!$B$13)*D1007^2)</f>
        <v/>
      </c>
      <c r="H1008" s="17">
        <f>Описание!$B$9*F1008*Описание!$B$7</f>
        <v/>
      </c>
      <c r="I1008" s="17">
        <f>Описание!$B$9*G1008*Описание!$B$7</f>
        <v/>
      </c>
    </row>
    <row r="1009">
      <c r="A1009" s="13" t="n">
        <v>40157</v>
      </c>
      <c r="B1009" s="14" t="n">
        <v>1.473</v>
      </c>
      <c r="C1009" t="inlineStr">
        <is>
          <t>После</t>
        </is>
      </c>
      <c r="D1009" s="15">
        <f>B1009/B1008-1</f>
        <v/>
      </c>
      <c r="E1009" s="16">
        <f>LN(B1009/B1008)</f>
        <v/>
      </c>
      <c r="F1009" s="15">
        <f>_xlfn.STDEV.S(OFFSET(D1009,-Описание!$B$12,0,Описание!$B$12,1))</f>
        <v/>
      </c>
      <c r="G1009" s="15">
        <f>SQRT(Описание!$B$13*G1008^2+(1-Описание!$B$13)*D1008^2)</f>
        <v/>
      </c>
      <c r="H1009" s="17">
        <f>Описание!$B$9*F1009*Описание!$B$7</f>
        <v/>
      </c>
      <c r="I1009" s="17">
        <f>Описание!$B$9*G1009*Описание!$B$7</f>
        <v/>
      </c>
    </row>
    <row r="1010">
      <c r="A1010" s="13" t="n">
        <v>40158</v>
      </c>
      <c r="B1010" s="14" t="n">
        <v>1.4757</v>
      </c>
      <c r="C1010" t="inlineStr">
        <is>
          <t>После</t>
        </is>
      </c>
      <c r="D1010" s="15">
        <f>B1010/B1009-1</f>
        <v/>
      </c>
      <c r="E1010" s="16">
        <f>LN(B1010/B1009)</f>
        <v/>
      </c>
      <c r="F1010" s="15">
        <f>_xlfn.STDEV.S(OFFSET(D1010,-Описание!$B$12,0,Описание!$B$12,1))</f>
        <v/>
      </c>
      <c r="G1010" s="15">
        <f>SQRT(Описание!$B$13*G1009^2+(1-Описание!$B$13)*D1009^2)</f>
        <v/>
      </c>
      <c r="H1010" s="17">
        <f>Описание!$B$9*F1010*Описание!$B$7</f>
        <v/>
      </c>
      <c r="I1010" s="17">
        <f>Описание!$B$9*G1010*Описание!$B$7</f>
        <v/>
      </c>
    </row>
    <row r="1011">
      <c r="A1011" s="13" t="n">
        <v>40161</v>
      </c>
      <c r="B1011" s="14" t="n">
        <v>1.4647</v>
      </c>
      <c r="C1011" t="inlineStr">
        <is>
          <t>После</t>
        </is>
      </c>
      <c r="D1011" s="15">
        <f>B1011/B1010-1</f>
        <v/>
      </c>
      <c r="E1011" s="16">
        <f>LN(B1011/B1010)</f>
        <v/>
      </c>
      <c r="F1011" s="15">
        <f>_xlfn.STDEV.S(OFFSET(D1011,-Описание!$B$12,0,Описание!$B$12,1))</f>
        <v/>
      </c>
      <c r="G1011" s="15">
        <f>SQRT(Описание!$B$13*G1010^2+(1-Описание!$B$13)*D1010^2)</f>
        <v/>
      </c>
      <c r="H1011" s="17">
        <f>Описание!$B$9*F1011*Описание!$B$7</f>
        <v/>
      </c>
      <c r="I1011" s="17">
        <f>Описание!$B$9*G1011*Описание!$B$7</f>
        <v/>
      </c>
    </row>
    <row r="1012">
      <c r="A1012" s="13" t="n">
        <v>40162</v>
      </c>
      <c r="B1012" s="14" t="n">
        <v>1.4541</v>
      </c>
      <c r="C1012" t="inlineStr">
        <is>
          <t>После</t>
        </is>
      </c>
      <c r="D1012" s="15">
        <f>B1012/B1011-1</f>
        <v/>
      </c>
      <c r="E1012" s="16">
        <f>LN(B1012/B1011)</f>
        <v/>
      </c>
      <c r="F1012" s="15">
        <f>_xlfn.STDEV.S(OFFSET(D1012,-Описание!$B$12,0,Описание!$B$12,1))</f>
        <v/>
      </c>
      <c r="G1012" s="15">
        <f>SQRT(Описание!$B$13*G1011^2+(1-Описание!$B$13)*D1011^2)</f>
        <v/>
      </c>
      <c r="H1012" s="17">
        <f>Описание!$B$9*F1012*Описание!$B$7</f>
        <v/>
      </c>
      <c r="I1012" s="17">
        <f>Описание!$B$9*G1012*Описание!$B$7</f>
        <v/>
      </c>
    </row>
    <row r="1013">
      <c r="A1013" s="13" t="n">
        <v>40163</v>
      </c>
      <c r="B1013" s="14" t="n">
        <v>1.456</v>
      </c>
      <c r="C1013" t="inlineStr">
        <is>
          <t>После</t>
        </is>
      </c>
      <c r="D1013" s="15">
        <f>B1013/B1012-1</f>
        <v/>
      </c>
      <c r="E1013" s="16">
        <f>LN(B1013/B1012)</f>
        <v/>
      </c>
      <c r="F1013" s="15">
        <f>_xlfn.STDEV.S(OFFSET(D1013,-Описание!$B$12,0,Описание!$B$12,1))</f>
        <v/>
      </c>
      <c r="G1013" s="15">
        <f>SQRT(Описание!$B$13*G1012^2+(1-Описание!$B$13)*D1012^2)</f>
        <v/>
      </c>
      <c r="H1013" s="17">
        <f>Описание!$B$9*F1013*Описание!$B$7</f>
        <v/>
      </c>
      <c r="I1013" s="17">
        <f>Описание!$B$9*G1013*Описание!$B$7</f>
        <v/>
      </c>
    </row>
    <row r="1014">
      <c r="A1014" s="13" t="n">
        <v>40164</v>
      </c>
      <c r="B1014" s="14" t="n">
        <v>1.4343</v>
      </c>
      <c r="C1014" t="inlineStr">
        <is>
          <t>После</t>
        </is>
      </c>
      <c r="D1014" s="15">
        <f>B1014/B1013-1</f>
        <v/>
      </c>
      <c r="E1014" s="16">
        <f>LN(B1014/B1013)</f>
        <v/>
      </c>
      <c r="F1014" s="15">
        <f>_xlfn.STDEV.S(OFFSET(D1014,-Описание!$B$12,0,Описание!$B$12,1))</f>
        <v/>
      </c>
      <c r="G1014" s="15">
        <f>SQRT(Описание!$B$13*G1013^2+(1-Описание!$B$13)*D1013^2)</f>
        <v/>
      </c>
      <c r="H1014" s="17">
        <f>Описание!$B$9*F1014*Описание!$B$7</f>
        <v/>
      </c>
      <c r="I1014" s="17">
        <f>Описание!$B$9*G1014*Описание!$B$7</f>
        <v/>
      </c>
    </row>
    <row r="1015">
      <c r="A1015" s="13" t="n">
        <v>40165</v>
      </c>
      <c r="B1015" s="14" t="n">
        <v>1.4337</v>
      </c>
      <c r="C1015" t="inlineStr">
        <is>
          <t>После</t>
        </is>
      </c>
      <c r="D1015" s="15">
        <f>B1015/B1014-1</f>
        <v/>
      </c>
      <c r="E1015" s="16">
        <f>LN(B1015/B1014)</f>
        <v/>
      </c>
      <c r="F1015" s="15">
        <f>_xlfn.STDEV.S(OFFSET(D1015,-Описание!$B$12,0,Описание!$B$12,1))</f>
        <v/>
      </c>
      <c r="G1015" s="15">
        <f>SQRT(Описание!$B$13*G1014^2+(1-Описание!$B$13)*D1014^2)</f>
        <v/>
      </c>
      <c r="H1015" s="17">
        <f>Описание!$B$9*F1015*Описание!$B$7</f>
        <v/>
      </c>
      <c r="I1015" s="17">
        <f>Описание!$B$9*G1015*Описание!$B$7</f>
        <v/>
      </c>
    </row>
    <row r="1016">
      <c r="A1016" s="13" t="n">
        <v>40168</v>
      </c>
      <c r="B1016" s="14" t="n">
        <v>1.4368</v>
      </c>
      <c r="C1016" t="inlineStr">
        <is>
          <t>После</t>
        </is>
      </c>
      <c r="D1016" s="15">
        <f>B1016/B1015-1</f>
        <v/>
      </c>
      <c r="E1016" s="16">
        <f>LN(B1016/B1015)</f>
        <v/>
      </c>
      <c r="F1016" s="15">
        <f>_xlfn.STDEV.S(OFFSET(D1016,-Описание!$B$12,0,Описание!$B$12,1))</f>
        <v/>
      </c>
      <c r="G1016" s="15">
        <f>SQRT(Описание!$B$13*G1015^2+(1-Описание!$B$13)*D1015^2)</f>
        <v/>
      </c>
      <c r="H1016" s="17">
        <f>Описание!$B$9*F1016*Описание!$B$7</f>
        <v/>
      </c>
      <c r="I1016" s="17">
        <f>Описание!$B$9*G1016*Описание!$B$7</f>
        <v/>
      </c>
    </row>
    <row r="1017">
      <c r="A1017" s="13" t="n">
        <v>40169</v>
      </c>
      <c r="B1017" s="14" t="n">
        <v>1.4279</v>
      </c>
      <c r="C1017" t="inlineStr">
        <is>
          <t>После</t>
        </is>
      </c>
      <c r="D1017" s="15">
        <f>B1017/B1016-1</f>
        <v/>
      </c>
      <c r="E1017" s="16">
        <f>LN(B1017/B1016)</f>
        <v/>
      </c>
      <c r="F1017" s="15">
        <f>_xlfn.STDEV.S(OFFSET(D1017,-Описание!$B$12,0,Описание!$B$12,1))</f>
        <v/>
      </c>
      <c r="G1017" s="15">
        <f>SQRT(Описание!$B$13*G1016^2+(1-Описание!$B$13)*D1016^2)</f>
        <v/>
      </c>
      <c r="H1017" s="17">
        <f>Описание!$B$9*F1017*Описание!$B$7</f>
        <v/>
      </c>
      <c r="I1017" s="17">
        <f>Описание!$B$9*G1017*Описание!$B$7</f>
        <v/>
      </c>
    </row>
    <row r="1018">
      <c r="A1018" s="13" t="n">
        <v>40170</v>
      </c>
      <c r="B1018" s="14" t="n">
        <v>1.4276</v>
      </c>
      <c r="C1018" t="inlineStr">
        <is>
          <t>После</t>
        </is>
      </c>
      <c r="D1018" s="15">
        <f>B1018/B1017-1</f>
        <v/>
      </c>
      <c r="E1018" s="16">
        <f>LN(B1018/B1017)</f>
        <v/>
      </c>
      <c r="F1018" s="15">
        <f>_xlfn.STDEV.S(OFFSET(D1018,-Описание!$B$12,0,Описание!$B$12,1))</f>
        <v/>
      </c>
      <c r="G1018" s="15">
        <f>SQRT(Описание!$B$13*G1017^2+(1-Описание!$B$13)*D1017^2)</f>
        <v/>
      </c>
      <c r="H1018" s="17">
        <f>Описание!$B$9*F1018*Описание!$B$7</f>
        <v/>
      </c>
      <c r="I1018" s="17">
        <f>Описание!$B$9*G1018*Описание!$B$7</f>
        <v/>
      </c>
    </row>
    <row r="1019">
      <c r="A1019" s="13" t="n">
        <v>40171</v>
      </c>
      <c r="B1019" s="14" t="n">
        <v>1.4398</v>
      </c>
      <c r="C1019" t="inlineStr">
        <is>
          <t>После</t>
        </is>
      </c>
      <c r="D1019" s="15">
        <f>B1019/B1018-1</f>
        <v/>
      </c>
      <c r="E1019" s="16">
        <f>LN(B1019/B1018)</f>
        <v/>
      </c>
      <c r="F1019" s="15">
        <f>_xlfn.STDEV.S(OFFSET(D1019,-Описание!$B$12,0,Описание!$B$12,1))</f>
        <v/>
      </c>
      <c r="G1019" s="15">
        <f>SQRT(Описание!$B$13*G1018^2+(1-Описание!$B$13)*D1018^2)</f>
        <v/>
      </c>
      <c r="H1019" s="17">
        <f>Описание!$B$9*F1019*Описание!$B$7</f>
        <v/>
      </c>
      <c r="I1019" s="17">
        <f>Описание!$B$9*G1019*Описание!$B$7</f>
        <v/>
      </c>
    </row>
    <row r="1020">
      <c r="A1020" s="13" t="n">
        <v>40175</v>
      </c>
      <c r="B1020" s="14" t="n">
        <v>1.4405</v>
      </c>
      <c r="C1020" t="inlineStr">
        <is>
          <t>После</t>
        </is>
      </c>
      <c r="D1020" s="15">
        <f>B1020/B1019-1</f>
        <v/>
      </c>
      <c r="E1020" s="16">
        <f>LN(B1020/B1019)</f>
        <v/>
      </c>
      <c r="F1020" s="15">
        <f>_xlfn.STDEV.S(OFFSET(D1020,-Описание!$B$12,0,Описание!$B$12,1))</f>
        <v/>
      </c>
      <c r="G1020" s="15">
        <f>SQRT(Описание!$B$13*G1019^2+(1-Описание!$B$13)*D1019^2)</f>
        <v/>
      </c>
      <c r="H1020" s="17">
        <f>Описание!$B$9*F1020*Описание!$B$7</f>
        <v/>
      </c>
      <c r="I1020" s="17">
        <f>Описание!$B$9*G1020*Описание!$B$7</f>
        <v/>
      </c>
    </row>
    <row r="1021">
      <c r="A1021" s="13" t="n">
        <v>40176</v>
      </c>
      <c r="B1021" s="14" t="n">
        <v>1.4433</v>
      </c>
      <c r="C1021" t="inlineStr">
        <is>
          <t>После</t>
        </is>
      </c>
      <c r="D1021" s="15">
        <f>B1021/B1020-1</f>
        <v/>
      </c>
      <c r="E1021" s="16">
        <f>LN(B1021/B1020)</f>
        <v/>
      </c>
      <c r="F1021" s="15">
        <f>_xlfn.STDEV.S(OFFSET(D1021,-Описание!$B$12,0,Описание!$B$12,1))</f>
        <v/>
      </c>
      <c r="G1021" s="15">
        <f>SQRT(Описание!$B$13*G1020^2+(1-Описание!$B$13)*D1020^2)</f>
        <v/>
      </c>
      <c r="H1021" s="17">
        <f>Описание!$B$9*F1021*Описание!$B$7</f>
        <v/>
      </c>
      <c r="I1021" s="17">
        <f>Описание!$B$9*G1021*Описание!$B$7</f>
        <v/>
      </c>
    </row>
    <row r="1022">
      <c r="A1022" s="13" t="n">
        <v>40177</v>
      </c>
      <c r="B1022" s="14" t="n">
        <v>1.4338</v>
      </c>
      <c r="C1022" t="inlineStr">
        <is>
          <t>После</t>
        </is>
      </c>
      <c r="D1022" s="15">
        <f>B1022/B1021-1</f>
        <v/>
      </c>
      <c r="E1022" s="16">
        <f>LN(B1022/B1021)</f>
        <v/>
      </c>
      <c r="F1022" s="15">
        <f>_xlfn.STDEV.S(OFFSET(D1022,-Описание!$B$12,0,Описание!$B$12,1))</f>
        <v/>
      </c>
      <c r="G1022" s="15">
        <f>SQRT(Описание!$B$13*G1021^2+(1-Описание!$B$13)*D1021^2)</f>
        <v/>
      </c>
      <c r="H1022" s="17">
        <f>Описание!$B$9*F1022*Описание!$B$7</f>
        <v/>
      </c>
      <c r="I1022" s="17">
        <f>Описание!$B$9*G1022*Описание!$B$7</f>
        <v/>
      </c>
    </row>
    <row r="1023">
      <c r="A1023" s="13" t="n">
        <v>40178</v>
      </c>
      <c r="B1023" s="14" t="n">
        <v>1.4406</v>
      </c>
      <c r="C1023" t="inlineStr">
        <is>
          <t>После</t>
        </is>
      </c>
      <c r="D1023" s="15">
        <f>B1023/B1022-1</f>
        <v/>
      </c>
      <c r="E1023" s="16">
        <f>LN(B1023/B1022)</f>
        <v/>
      </c>
      <c r="F1023" s="15">
        <f>_xlfn.STDEV.S(OFFSET(D1023,-Описание!$B$12,0,Описание!$B$12,1))</f>
        <v/>
      </c>
      <c r="G1023" s="15">
        <f>SQRT(Описание!$B$13*G1022^2+(1-Описание!$B$13)*D1022^2)</f>
        <v/>
      </c>
      <c r="H1023" s="17">
        <f>Описание!$B$9*F1023*Описание!$B$7</f>
        <v/>
      </c>
      <c r="I1023" s="17">
        <f>Описание!$B$9*G1023*Описание!$B$7</f>
        <v/>
      </c>
    </row>
  </sheetData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6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8" customWidth="1" min="3" max="3"/>
    <col width="20" customWidth="1" min="4" max="4"/>
  </cols>
  <sheetData>
    <row r="1">
      <c r="A1" s="18" t="inlineStr">
        <is>
          <t>Этап 3. Тест: статистические характеристики курса и доходности</t>
        </is>
      </c>
    </row>
    <row r="3" ht="32" customHeight="1">
      <c r="A3" s="12" t="inlineStr">
        <is>
          <t>Показатель</t>
        </is>
      </c>
      <c r="B3" s="12" t="inlineStr">
        <is>
          <t>До (2006–2007)</t>
        </is>
      </c>
      <c r="C3" s="12" t="inlineStr">
        <is>
          <t>После (2008–2009)</t>
        </is>
      </c>
      <c r="D3" s="12" t="inlineStr">
        <is>
          <t>После / До</t>
        </is>
      </c>
    </row>
    <row r="4">
      <c r="A4" s="19" t="inlineStr">
        <is>
          <t>Число наблюдений доходности</t>
        </is>
      </c>
      <c r="B4" s="20">
        <f>COUNT(Данные!$D$3:$D$511)</f>
        <v/>
      </c>
      <c r="C4" s="20">
        <f>COUNT(Данные!$D$512:$D$1023)</f>
        <v/>
      </c>
      <c r="D4" s="21" t="n"/>
    </row>
    <row r="5">
      <c r="A5" s="19" t="inlineStr">
        <is>
          <t>Средний курс, $ за €</t>
        </is>
      </c>
      <c r="B5" s="22">
        <f>AVERAGE(Данные!$B$2:$B$511)</f>
        <v/>
      </c>
      <c r="C5" s="22">
        <f>AVERAGE(Данные!$B$512:$B$1023)</f>
        <v/>
      </c>
      <c r="D5" s="23">
        <f>C5/B5</f>
        <v/>
      </c>
    </row>
    <row r="6">
      <c r="A6" s="19" t="inlineStr">
        <is>
          <t>Минимальный курс</t>
        </is>
      </c>
      <c r="B6" s="22">
        <f>MIN(Данные!$B$2:$B$511)</f>
        <v/>
      </c>
      <c r="C6" s="22">
        <f>MIN(Данные!$B$512:$B$1023)</f>
        <v/>
      </c>
      <c r="D6" s="21" t="n"/>
    </row>
    <row r="7">
      <c r="A7" s="19" t="inlineStr">
        <is>
          <t>Максимальный курс</t>
        </is>
      </c>
      <c r="B7" s="22">
        <f>MAX(Данные!$B$2:$B$511)</f>
        <v/>
      </c>
      <c r="C7" s="22">
        <f>MAX(Данные!$B$512:$B$1023)</f>
        <v/>
      </c>
      <c r="D7" s="21" t="n"/>
    </row>
    <row r="8">
      <c r="A8" s="19" t="inlineStr">
        <is>
          <t>Средняя дневная доходность</t>
        </is>
      </c>
      <c r="B8" s="24">
        <f>AVERAGE(Данные!$D$3:$D$511)</f>
        <v/>
      </c>
      <c r="C8" s="24">
        <f>AVERAGE(Данные!$D$512:$D$1023)</f>
        <v/>
      </c>
      <c r="D8" s="21" t="n"/>
    </row>
    <row r="9">
      <c r="A9" s="19" t="inlineStr">
        <is>
          <t>Дисперсия доходности</t>
        </is>
      </c>
      <c r="B9" s="25">
        <f>_xlfn.VAR.S(Данные!$D$3:$D$511)</f>
        <v/>
      </c>
      <c r="C9" s="25">
        <f>_xlfn.VAR.S(Данные!$D$512:$D$1023)</f>
        <v/>
      </c>
      <c r="D9" s="23">
        <f>C9/B9</f>
        <v/>
      </c>
    </row>
    <row r="10">
      <c r="A10" s="19" t="inlineStr">
        <is>
          <t>Стандартное отклонение σ (дневная волатильность)</t>
        </is>
      </c>
      <c r="B10" s="26">
        <f>_xlfn.STDEV.S(Данные!$D$3:$D$511)</f>
        <v/>
      </c>
      <c r="C10" s="26">
        <f>_xlfn.STDEV.S(Данные!$D$512:$D$1023)</f>
        <v/>
      </c>
      <c r="D10" s="23">
        <f>C10/B10</f>
        <v/>
      </c>
    </row>
    <row r="11">
      <c r="A11" s="19" t="inlineStr">
        <is>
          <t>Годовая волатильность σ·√250</t>
        </is>
      </c>
      <c r="B11" s="27">
        <f>B10*SQRT(250)</f>
        <v/>
      </c>
      <c r="C11" s="27">
        <f>C10*SQRT(250)</f>
        <v/>
      </c>
      <c r="D11" s="23">
        <f>C11/B11</f>
        <v/>
      </c>
    </row>
    <row r="12">
      <c r="A12" s="19" t="inlineStr">
        <is>
          <t>Минимальная дневная доходность</t>
        </is>
      </c>
      <c r="B12" s="27">
        <f>MIN(Данные!$D$3:$D$511)</f>
        <v/>
      </c>
      <c r="C12" s="27">
        <f>MIN(Данные!$D$512:$D$1023)</f>
        <v/>
      </c>
      <c r="D12" s="23">
        <f>C12/B12</f>
        <v/>
      </c>
    </row>
    <row r="13">
      <c r="A13" s="19" t="inlineStr">
        <is>
          <t>Максимальная дневная доходность</t>
        </is>
      </c>
      <c r="B13" s="27">
        <f>MAX(Данные!$D$3:$D$511)</f>
        <v/>
      </c>
      <c r="C13" s="27">
        <f>MAX(Данные!$D$512:$D$1023)</f>
        <v/>
      </c>
      <c r="D13" s="23">
        <f>C13/B13</f>
        <v/>
      </c>
    </row>
    <row r="14">
      <c r="A14" s="19" t="inlineStr">
        <is>
          <t>Асимметрия</t>
        </is>
      </c>
      <c r="B14" s="23">
        <f>SKEW(Данные!$D$3:$D$511)</f>
        <v/>
      </c>
      <c r="C14" s="23">
        <f>SKEW(Данные!$D$512:$D$1023)</f>
        <v/>
      </c>
      <c r="D14" s="21" t="n"/>
    </row>
    <row r="15">
      <c r="A15" s="19" t="inlineStr">
        <is>
          <t>Эксцесс</t>
        </is>
      </c>
      <c r="B15" s="23">
        <f>KURT(Данные!$D$3:$D$511)</f>
        <v/>
      </c>
      <c r="C15" s="23">
        <f>KURT(Данные!$D$512:$D$1023)</f>
        <v/>
      </c>
      <c r="D15" s="21" t="n"/>
    </row>
    <row r="18">
      <c r="A18" s="3" t="inlineStr">
        <is>
          <t>Распределение частоты значений курса</t>
        </is>
      </c>
    </row>
    <row r="19" ht="32" customHeight="1">
      <c r="A19" s="12" t="inlineStr">
        <is>
          <t>Интервал курса</t>
        </is>
      </c>
      <c r="B19" s="12" t="inlineStr">
        <is>
          <t>До, дней</t>
        </is>
      </c>
      <c r="C19" s="12" t="inlineStr">
        <is>
          <t>После, дней</t>
        </is>
      </c>
      <c r="D19" s="12" t="inlineStr">
        <is>
          <t>Всего</t>
        </is>
      </c>
    </row>
    <row r="20">
      <c r="A20" s="21" t="inlineStr">
        <is>
          <t>1.16–1.20</t>
        </is>
      </c>
      <c r="B20" s="21">
        <f>COUNTIFS(Данные!$B$2:$B$511,"&gt;=1.16",Данные!$B$2:$B$511,"&lt;1.2")</f>
        <v/>
      </c>
      <c r="C20" s="21">
        <f>COUNTIFS(Данные!$B$512:$B$1023,"&gt;=1.16",Данные!$B$512:$B$1023,"&lt;1.2")</f>
        <v/>
      </c>
      <c r="D20" s="21">
        <f>B20+C20</f>
        <v/>
      </c>
    </row>
    <row r="21">
      <c r="A21" s="21" t="inlineStr">
        <is>
          <t>1.20–1.24</t>
        </is>
      </c>
      <c r="B21" s="21">
        <f>COUNTIFS(Данные!$B$2:$B$511,"&gt;=1.2",Данные!$B$2:$B$511,"&lt;1.24")</f>
        <v/>
      </c>
      <c r="C21" s="21">
        <f>COUNTIFS(Данные!$B$512:$B$1023,"&gt;=1.2",Данные!$B$512:$B$1023,"&lt;1.24")</f>
        <v/>
      </c>
      <c r="D21" s="21">
        <f>B21+C21</f>
        <v/>
      </c>
    </row>
    <row r="22">
      <c r="A22" s="21" t="inlineStr">
        <is>
          <t>1.24–1.28</t>
        </is>
      </c>
      <c r="B22" s="21">
        <f>COUNTIFS(Данные!$B$2:$B$511,"&gt;=1.24",Данные!$B$2:$B$511,"&lt;1.28")</f>
        <v/>
      </c>
      <c r="C22" s="21">
        <f>COUNTIFS(Данные!$B$512:$B$1023,"&gt;=1.24",Данные!$B$512:$B$1023,"&lt;1.28")</f>
        <v/>
      </c>
      <c r="D22" s="21">
        <f>B22+C22</f>
        <v/>
      </c>
    </row>
    <row r="23">
      <c r="A23" s="21" t="inlineStr">
        <is>
          <t>1.28–1.32</t>
        </is>
      </c>
      <c r="B23" s="21">
        <f>COUNTIFS(Данные!$B$2:$B$511,"&gt;=1.28",Данные!$B$2:$B$511,"&lt;1.32")</f>
        <v/>
      </c>
      <c r="C23" s="21">
        <f>COUNTIFS(Данные!$B$512:$B$1023,"&gt;=1.28",Данные!$B$512:$B$1023,"&lt;1.32")</f>
        <v/>
      </c>
      <c r="D23" s="21">
        <f>B23+C23</f>
        <v/>
      </c>
    </row>
    <row r="24">
      <c r="A24" s="21" t="inlineStr">
        <is>
          <t>1.32–1.36</t>
        </is>
      </c>
      <c r="B24" s="21">
        <f>COUNTIFS(Данные!$B$2:$B$511,"&gt;=1.32",Данные!$B$2:$B$511,"&lt;1.36")</f>
        <v/>
      </c>
      <c r="C24" s="21">
        <f>COUNTIFS(Данные!$B$512:$B$1023,"&gt;=1.32",Данные!$B$512:$B$1023,"&lt;1.36")</f>
        <v/>
      </c>
      <c r="D24" s="21">
        <f>B24+C24</f>
        <v/>
      </c>
    </row>
    <row r="25">
      <c r="A25" s="21" t="inlineStr">
        <is>
          <t>1.36–1.40</t>
        </is>
      </c>
      <c r="B25" s="21">
        <f>COUNTIFS(Данные!$B$2:$B$511,"&gt;=1.36",Данные!$B$2:$B$511,"&lt;1.4")</f>
        <v/>
      </c>
      <c r="C25" s="21">
        <f>COUNTIFS(Данные!$B$512:$B$1023,"&gt;=1.36",Данные!$B$512:$B$1023,"&lt;1.4")</f>
        <v/>
      </c>
      <c r="D25" s="21">
        <f>B25+C25</f>
        <v/>
      </c>
    </row>
    <row r="26">
      <c r="A26" s="21" t="inlineStr">
        <is>
          <t>1.40–1.44</t>
        </is>
      </c>
      <c r="B26" s="21">
        <f>COUNTIFS(Данные!$B$2:$B$511,"&gt;=1.4",Данные!$B$2:$B$511,"&lt;1.44")</f>
        <v/>
      </c>
      <c r="C26" s="21">
        <f>COUNTIFS(Данные!$B$512:$B$1023,"&gt;=1.4",Данные!$B$512:$B$1023,"&lt;1.44")</f>
        <v/>
      </c>
      <c r="D26" s="21">
        <f>B26+C26</f>
        <v/>
      </c>
    </row>
    <row r="27">
      <c r="A27" s="21" t="inlineStr">
        <is>
          <t>1.44–1.48</t>
        </is>
      </c>
      <c r="B27" s="21">
        <f>COUNTIFS(Данные!$B$2:$B$511,"&gt;=1.44",Данные!$B$2:$B$511,"&lt;1.48")</f>
        <v/>
      </c>
      <c r="C27" s="21">
        <f>COUNTIFS(Данные!$B$512:$B$1023,"&gt;=1.44",Данные!$B$512:$B$1023,"&lt;1.48")</f>
        <v/>
      </c>
      <c r="D27" s="21">
        <f>B27+C27</f>
        <v/>
      </c>
    </row>
    <row r="28">
      <c r="A28" s="21" t="inlineStr">
        <is>
          <t>1.48–1.52</t>
        </is>
      </c>
      <c r="B28" s="21">
        <f>COUNTIFS(Данные!$B$2:$B$511,"&gt;=1.48",Данные!$B$2:$B$511,"&lt;1.52")</f>
        <v/>
      </c>
      <c r="C28" s="21">
        <f>COUNTIFS(Данные!$B$512:$B$1023,"&gt;=1.48",Данные!$B$512:$B$1023,"&lt;1.52")</f>
        <v/>
      </c>
      <c r="D28" s="21">
        <f>B28+C28</f>
        <v/>
      </c>
    </row>
    <row r="29">
      <c r="A29" s="21" t="inlineStr">
        <is>
          <t>1.52–1.56</t>
        </is>
      </c>
      <c r="B29" s="21">
        <f>COUNTIFS(Данные!$B$2:$B$511,"&gt;=1.52",Данные!$B$2:$B$511,"&lt;1.56")</f>
        <v/>
      </c>
      <c r="C29" s="21">
        <f>COUNTIFS(Данные!$B$512:$B$1023,"&gt;=1.52",Данные!$B$512:$B$1023,"&lt;1.56")</f>
        <v/>
      </c>
      <c r="D29" s="21">
        <f>B29+C29</f>
        <v/>
      </c>
    </row>
    <row r="30">
      <c r="A30" s="21" t="inlineStr">
        <is>
          <t>1.56–1.60</t>
        </is>
      </c>
      <c r="B30" s="21">
        <f>COUNTIFS(Данные!$B$2:$B$511,"&gt;=1.56",Данные!$B$2:$B$511,"&lt;1.6")</f>
        <v/>
      </c>
      <c r="C30" s="21">
        <f>COUNTIFS(Данные!$B$512:$B$1023,"&gt;=1.56",Данные!$B$512:$B$1023,"&lt;1.6")</f>
        <v/>
      </c>
      <c r="D30" s="21">
        <f>B30+C30</f>
        <v/>
      </c>
    </row>
    <row r="33">
      <c r="A33" s="3" t="inlineStr">
        <is>
          <t>Распределение доходности (доля дней, %)</t>
        </is>
      </c>
    </row>
    <row r="34" ht="32" customHeight="1">
      <c r="A34" s="12" t="inlineStr">
        <is>
          <t>Интервал доходности</t>
        </is>
      </c>
      <c r="B34" s="12" t="inlineStr">
        <is>
          <t>До, %</t>
        </is>
      </c>
      <c r="C34" s="12" t="inlineStr">
        <is>
          <t>После, %</t>
        </is>
      </c>
      <c r="D34" s="12" t="inlineStr">
        <is>
          <t>Нормальное (σ «До»), %</t>
        </is>
      </c>
    </row>
    <row r="35">
      <c r="A35" s="21" t="inlineStr">
        <is>
          <t>&lt; -2.5%</t>
        </is>
      </c>
      <c r="B35" s="28">
        <f>COUNTIFS(Данные!$D$3:$D$511,"&lt;-0.025")/B4</f>
        <v/>
      </c>
      <c r="C35" s="28">
        <f>COUNTIFS(Данные!$D$512:$D$1023,"&lt;-0.025")/C4</f>
        <v/>
      </c>
      <c r="D35" s="28">
        <f>_xlfn.NORM.DIST(-0.025,B8,B10,TRUE)</f>
        <v/>
      </c>
    </row>
    <row r="36">
      <c r="A36" s="21" t="inlineStr">
        <is>
          <t>-2.5…-2.0</t>
        </is>
      </c>
      <c r="B36" s="28">
        <f>COUNTIFS(Данные!$D$3:$D$511,"&gt;=-0.025",Данные!$D$3:$D$511,"&lt;-0.02")/B4</f>
        <v/>
      </c>
      <c r="C36" s="28">
        <f>COUNTIFS(Данные!$D$512:$D$1023,"&gt;=-0.025",Данные!$D$512:$D$1023,"&lt;-0.02")/C4</f>
        <v/>
      </c>
      <c r="D36" s="28">
        <f>_xlfn.NORM.DIST(-0.02,B8,B10,TRUE)-_xlfn.NORM.DIST(-0.025,B8,B10,TRUE)</f>
        <v/>
      </c>
    </row>
    <row r="37">
      <c r="A37" s="21" t="inlineStr">
        <is>
          <t>-2.0…-1.5</t>
        </is>
      </c>
      <c r="B37" s="28">
        <f>COUNTIFS(Данные!$D$3:$D$511,"&gt;=-0.02",Данные!$D$3:$D$511,"&lt;-0.015")/B4</f>
        <v/>
      </c>
      <c r="C37" s="28">
        <f>COUNTIFS(Данные!$D$512:$D$1023,"&gt;=-0.02",Данные!$D$512:$D$1023,"&lt;-0.015")/C4</f>
        <v/>
      </c>
      <c r="D37" s="28">
        <f>_xlfn.NORM.DIST(-0.015,B8,B10,TRUE)-_xlfn.NORM.DIST(-0.02,B8,B10,TRUE)</f>
        <v/>
      </c>
    </row>
    <row r="38">
      <c r="A38" s="21" t="inlineStr">
        <is>
          <t>-1.5…-1.0</t>
        </is>
      </c>
      <c r="B38" s="28">
        <f>COUNTIFS(Данные!$D$3:$D$511,"&gt;=-0.015",Данные!$D$3:$D$511,"&lt;-0.01")/B4</f>
        <v/>
      </c>
      <c r="C38" s="28">
        <f>COUNTIFS(Данные!$D$512:$D$1023,"&gt;=-0.015",Данные!$D$512:$D$1023,"&lt;-0.01")/C4</f>
        <v/>
      </c>
      <c r="D38" s="28">
        <f>_xlfn.NORM.DIST(-0.01,B8,B10,TRUE)-_xlfn.NORM.DIST(-0.015,B8,B10,TRUE)</f>
        <v/>
      </c>
    </row>
    <row r="39">
      <c r="A39" s="21" t="inlineStr">
        <is>
          <t>-1.0…-0.5</t>
        </is>
      </c>
      <c r="B39" s="28">
        <f>COUNTIFS(Данные!$D$3:$D$511,"&gt;=-0.01",Данные!$D$3:$D$511,"&lt;-0.005")/B4</f>
        <v/>
      </c>
      <c r="C39" s="28">
        <f>COUNTIFS(Данные!$D$512:$D$1023,"&gt;=-0.01",Данные!$D$512:$D$1023,"&lt;-0.005")/C4</f>
        <v/>
      </c>
      <c r="D39" s="28">
        <f>_xlfn.NORM.DIST(-0.005,B8,B10,TRUE)-_xlfn.NORM.DIST(-0.01,B8,B10,TRUE)</f>
        <v/>
      </c>
    </row>
    <row r="40">
      <c r="A40" s="21" t="inlineStr">
        <is>
          <t>-0.5…0.0</t>
        </is>
      </c>
      <c r="B40" s="28">
        <f>COUNTIFS(Данные!$D$3:$D$511,"&gt;=-0.005",Данные!$D$3:$D$511,"&lt;0.0")/B4</f>
        <v/>
      </c>
      <c r="C40" s="28">
        <f>COUNTIFS(Данные!$D$512:$D$1023,"&gt;=-0.005",Данные!$D$512:$D$1023,"&lt;0.0")/C4</f>
        <v/>
      </c>
      <c r="D40" s="28">
        <f>_xlfn.NORM.DIST(0.0,B8,B10,TRUE)-_xlfn.NORM.DIST(-0.005,B8,B10,TRUE)</f>
        <v/>
      </c>
    </row>
    <row r="41">
      <c r="A41" s="21" t="inlineStr">
        <is>
          <t>0.0…0.5</t>
        </is>
      </c>
      <c r="B41" s="28">
        <f>COUNTIFS(Данные!$D$3:$D$511,"&gt;=0.0",Данные!$D$3:$D$511,"&lt;0.005")/B4</f>
        <v/>
      </c>
      <c r="C41" s="28">
        <f>COUNTIFS(Данные!$D$512:$D$1023,"&gt;=0.0",Данные!$D$512:$D$1023,"&lt;0.005")/C4</f>
        <v/>
      </c>
      <c r="D41" s="28">
        <f>_xlfn.NORM.DIST(0.005,B8,B10,TRUE)-_xlfn.NORM.DIST(0.0,B8,B10,TRUE)</f>
        <v/>
      </c>
    </row>
    <row r="42">
      <c r="A42" s="21" t="inlineStr">
        <is>
          <t>0.5…1.0</t>
        </is>
      </c>
      <c r="B42" s="28">
        <f>COUNTIFS(Данные!$D$3:$D$511,"&gt;=0.005",Данные!$D$3:$D$511,"&lt;0.01")/B4</f>
        <v/>
      </c>
      <c r="C42" s="28">
        <f>COUNTIFS(Данные!$D$512:$D$1023,"&gt;=0.005",Данные!$D$512:$D$1023,"&lt;0.01")/C4</f>
        <v/>
      </c>
      <c r="D42" s="28">
        <f>_xlfn.NORM.DIST(0.01,B8,B10,TRUE)-_xlfn.NORM.DIST(0.005,B8,B10,TRUE)</f>
        <v/>
      </c>
    </row>
    <row r="43">
      <c r="A43" s="21" t="inlineStr">
        <is>
          <t>1.0…1.5</t>
        </is>
      </c>
      <c r="B43" s="28">
        <f>COUNTIFS(Данные!$D$3:$D$511,"&gt;=0.01",Данные!$D$3:$D$511,"&lt;0.015")/B4</f>
        <v/>
      </c>
      <c r="C43" s="28">
        <f>COUNTIFS(Данные!$D$512:$D$1023,"&gt;=0.01",Данные!$D$512:$D$1023,"&lt;0.015")/C4</f>
        <v/>
      </c>
      <c r="D43" s="28">
        <f>_xlfn.NORM.DIST(0.015,B8,B10,TRUE)-_xlfn.NORM.DIST(0.01,B8,B10,TRUE)</f>
        <v/>
      </c>
    </row>
    <row r="44">
      <c r="A44" s="21" t="inlineStr">
        <is>
          <t>1.5…2.0</t>
        </is>
      </c>
      <c r="B44" s="28">
        <f>COUNTIFS(Данные!$D$3:$D$511,"&gt;=0.015",Данные!$D$3:$D$511,"&lt;0.02")/B4</f>
        <v/>
      </c>
      <c r="C44" s="28">
        <f>COUNTIFS(Данные!$D$512:$D$1023,"&gt;=0.015",Данные!$D$512:$D$1023,"&lt;0.02")/C4</f>
        <v/>
      </c>
      <c r="D44" s="28">
        <f>_xlfn.NORM.DIST(0.02,B8,B10,TRUE)-_xlfn.NORM.DIST(0.015,B8,B10,TRUE)</f>
        <v/>
      </c>
    </row>
    <row r="45">
      <c r="A45" s="21" t="inlineStr">
        <is>
          <t>2.0…2.5</t>
        </is>
      </c>
      <c r="B45" s="28">
        <f>COUNTIFS(Данные!$D$3:$D$511,"&gt;=0.02",Данные!$D$3:$D$511,"&lt;0.025")/B4</f>
        <v/>
      </c>
      <c r="C45" s="28">
        <f>COUNTIFS(Данные!$D$512:$D$1023,"&gt;=0.02",Данные!$D$512:$D$1023,"&lt;0.025")/C4</f>
        <v/>
      </c>
      <c r="D45" s="28">
        <f>_xlfn.NORM.DIST(0.025,B8,B10,TRUE)-_xlfn.NORM.DIST(0.02,B8,B10,TRUE)</f>
        <v/>
      </c>
    </row>
    <row r="46">
      <c r="A46" s="21" t="inlineStr">
        <is>
          <t>&gt; 2.5%</t>
        </is>
      </c>
      <c r="B46" s="28">
        <f>COUNTIFS(Данные!$D$3:$D$511,"&gt;=0.025")/B4</f>
        <v/>
      </c>
      <c r="C46" s="28">
        <f>COUNTIFS(Данные!$D$512:$D$1023,"&gt;=0.025")/C4</f>
        <v/>
      </c>
      <c r="D46" s="28">
        <f>1-_xlfn.NORM.DIST(0.025,B8,B10,TRUE)</f>
        <v/>
      </c>
    </row>
  </sheetData>
  <pageMargins left="0.75" right="0.75" top="1" bottom="1" header="0.5" footer="0.5"/>
  <pageSetup orientation="portrait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</cols>
  <sheetData>
    <row r="1">
      <c r="A1" s="18" t="inlineStr">
        <is>
          <t>Этап 4. Value-at-Risk длинной позиции в евро: VaR = α · σ · P · √t</t>
        </is>
      </c>
    </row>
    <row r="2">
      <c r="A2" s="2" t="inlineStr">
        <is>
          <t>P – стоимость позиции, σ – стандартное отклонение дневной доходности, t – горизонт (дней), α – квантиль нормального распределения</t>
        </is>
      </c>
    </row>
    <row r="4" ht="36" customHeight="1">
      <c r="A4" s="12" t="inlineStr">
        <is>
          <t>Метод / уровень доверия / горизонт</t>
        </is>
      </c>
      <c r="B4" s="12" t="inlineStr">
        <is>
          <t>До (2006–2007), $</t>
        </is>
      </c>
      <c r="C4" s="12" t="inlineStr">
        <is>
          <t>После (2008–2009), $</t>
        </is>
      </c>
      <c r="D4" s="12" t="inlineStr">
        <is>
          <t>После / До</t>
        </is>
      </c>
    </row>
    <row r="5">
      <c r="A5" s="29" t="inlineStr">
        <is>
          <t>Параметрический VaR 95%, 1 день</t>
        </is>
      </c>
      <c r="B5" s="30">
        <f>Описание!$B$8*Статистика!B10*Описание!$B$7*SQRT(Описание!$B$10)</f>
        <v/>
      </c>
      <c r="C5" s="30">
        <f>Описание!$B$8*Статистика!C10*Описание!$B$7*SQRT(Описание!$B$10)</f>
        <v/>
      </c>
      <c r="D5" s="23">
        <f>C5/B5</f>
        <v/>
      </c>
    </row>
    <row r="6">
      <c r="A6" s="29" t="inlineStr">
        <is>
          <t>Параметрический VaR 99%, 1 день</t>
        </is>
      </c>
      <c r="B6" s="30">
        <f>Описание!$B$9*Статистика!B10*Описание!$B$7*SQRT(Описание!$B$10)</f>
        <v/>
      </c>
      <c r="C6" s="30">
        <f>Описание!$B$9*Статистика!C10*Описание!$B$7*SQRT(Описание!$B$10)</f>
        <v/>
      </c>
      <c r="D6" s="23">
        <f>C6/B6</f>
        <v/>
      </c>
    </row>
    <row r="7">
      <c r="A7" s="29" t="inlineStr">
        <is>
          <t>Параметрический VaR 95%, 10 дней</t>
        </is>
      </c>
      <c r="B7" s="30">
        <f>Описание!$B$8*Статистика!B10*Описание!$B$7*SQRT(Описание!$B$11)</f>
        <v/>
      </c>
      <c r="C7" s="30">
        <f>Описание!$B$8*Статистика!C10*Описание!$B$7*SQRT(Описание!$B$11)</f>
        <v/>
      </c>
      <c r="D7" s="23">
        <f>C7/B7</f>
        <v/>
      </c>
    </row>
    <row r="8">
      <c r="A8" s="29" t="inlineStr">
        <is>
          <t>Параметрический VaR 99%, 10 дней</t>
        </is>
      </c>
      <c r="B8" s="30">
        <f>Описание!$B$9*Статистика!B10*Описание!$B$7*SQRT(Описание!$B$11)</f>
        <v/>
      </c>
      <c r="C8" s="30">
        <f>Описание!$B$9*Статистика!C10*Описание!$B$7*SQRT(Описание!$B$11)</f>
        <v/>
      </c>
      <c r="D8" s="23">
        <f>C8/B8</f>
        <v/>
      </c>
    </row>
    <row r="9">
      <c r="A9" s="29" t="inlineStr">
        <is>
          <t>Исторический VaR 95%, 1 день</t>
        </is>
      </c>
      <c r="B9" s="30">
        <f>-_xlfn.PERCENTILE.INC(Данные!$D$3:$D$511,0.05)*Описание!$B$7</f>
        <v/>
      </c>
      <c r="C9" s="30">
        <f>-_xlfn.PERCENTILE.INC(Данные!$D$512:$D$1023,0.05)*Описание!$B$7</f>
        <v/>
      </c>
      <c r="D9" s="23">
        <f>C9/B9</f>
        <v/>
      </c>
    </row>
    <row r="10">
      <c r="A10" s="29" t="inlineStr">
        <is>
          <t>Исторический VaR 99%, 1 день</t>
        </is>
      </c>
      <c r="B10" s="30">
        <f>-_xlfn.PERCENTILE.INC(Данные!$D$3:$D$511,0.01)*Описание!$B$7</f>
        <v/>
      </c>
      <c r="C10" s="30">
        <f>-_xlfn.PERCENTILE.INC(Данные!$D$512:$D$1023,0.01)*Описание!$B$7</f>
        <v/>
      </c>
      <c r="D10" s="23">
        <f>C10/B10</f>
        <v/>
      </c>
    </row>
    <row r="11">
      <c r="A11" s="29" t="inlineStr">
        <is>
          <t>Максимальный фактический убыток за 1 день</t>
        </is>
      </c>
      <c r="B11" s="30">
        <f>-MIN(Данные!$D$3:$D$511)*Описание!$B$7</f>
        <v/>
      </c>
      <c r="C11" s="30">
        <f>-MIN(Данные!$D$512:$D$1023)*Описание!$B$7</f>
        <v/>
      </c>
      <c r="D11" s="23">
        <f>C11/B11</f>
        <v/>
      </c>
    </row>
    <row r="13">
      <c r="A13" s="3" t="inlineStr">
        <is>
          <t>Бэктест VaR 99% (1 день): число дней, когда убыток превысил VaR</t>
        </is>
      </c>
    </row>
    <row r="14" ht="20" customHeight="1">
      <c r="A14" s="12" t="inlineStr">
        <is>
          <t>Показатель</t>
        </is>
      </c>
      <c r="B14" s="12" t="inlineStr">
        <is>
          <t>До</t>
        </is>
      </c>
      <c r="C14" s="12" t="inlineStr">
        <is>
          <t>После</t>
        </is>
      </c>
      <c r="D14" s="12" t="inlineStr"/>
    </row>
    <row r="15">
      <c r="A15" s="21" t="inlineStr">
        <is>
          <t>Дней с убытком &gt; VaR 99%</t>
        </is>
      </c>
      <c r="B15" s="21">
        <f>COUNTIF(Данные!$D$3:$D$511,"&lt;"&amp;-B6/Описание!$B$7)</f>
        <v/>
      </c>
      <c r="C15" s="21">
        <f>COUNTIF(Данные!$D$512:$D$1023,"&lt;"&amp;-C6/Описание!$B$7)</f>
        <v/>
      </c>
    </row>
    <row r="16">
      <c r="A16" s="21" t="inlineStr">
        <is>
          <t>Ожидаемое число (1% наблюдений)</t>
        </is>
      </c>
      <c r="B16" s="31">
        <f>0.01*Статистика!B4</f>
        <v/>
      </c>
      <c r="C16" s="31">
        <f>0.01*Статистика!C4</f>
        <v/>
      </c>
    </row>
    <row r="19">
      <c r="A19" s="3" t="inlineStr">
        <is>
          <t>Данные для графика VaR (1 день)</t>
        </is>
      </c>
    </row>
    <row r="20" ht="20" customHeight="1">
      <c r="A20" s="12" t="inlineStr"/>
      <c r="B20" s="12" t="inlineStr">
        <is>
          <t>До (2006–2007)</t>
        </is>
      </c>
      <c r="C20" s="12" t="inlineStr">
        <is>
          <t>После (2008–2009)</t>
        </is>
      </c>
    </row>
    <row r="21">
      <c r="A21" s="21" t="inlineStr">
        <is>
          <t>Параметр. 95%</t>
        </is>
      </c>
      <c r="B21" s="30">
        <f>B5</f>
        <v/>
      </c>
      <c r="C21" s="30">
        <f>C5</f>
        <v/>
      </c>
    </row>
    <row r="22">
      <c r="A22" s="21" t="inlineStr">
        <is>
          <t>Параметр. 99%</t>
        </is>
      </c>
      <c r="B22" s="30">
        <f>B6</f>
        <v/>
      </c>
      <c r="C22" s="30">
        <f>C6</f>
        <v/>
      </c>
    </row>
    <row r="23">
      <c r="A23" s="21" t="inlineStr">
        <is>
          <t>Историч. 95%</t>
        </is>
      </c>
      <c r="B23" s="30">
        <f>B9</f>
        <v/>
      </c>
      <c r="C23" s="30">
        <f>C9</f>
        <v/>
      </c>
    </row>
    <row r="24">
      <c r="A24" s="21" t="inlineStr">
        <is>
          <t>Историч. 99%</t>
        </is>
      </c>
      <c r="B24" s="30">
        <f>B10</f>
        <v/>
      </c>
      <c r="C24" s="30">
        <f>C10</f>
        <v/>
      </c>
    </row>
  </sheetData>
  <pageMargins left="0.75" right="0.75" top="1" bottom="1" header="0.5" footer="0.5"/>
  <pageSetup orientation="portrait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Графики: курс → распределение курса → распределение доходности → VaR</t>
        </is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2026-10-11T11:24:27Z</dcterms:created>
  <dcterms:modified xmlns:dcterms="http://purl.org/dc/terms/" xmlns:xsi="http://www.w3.org/2001/XMLSchema-instance" xsi:type="dcterms:W3CDTF">2026-10-11T11:24:27Z</dcterms:modified>
</cp:coreProperties>
</file>