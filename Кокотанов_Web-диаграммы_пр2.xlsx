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  <sheet xmlns:r="http://schemas.openxmlformats.org/officeDocument/2006/relationships" name="Диаграммы" sheetId="2" state="visible" r:id="rId2"/>
    <sheet xmlns:r="http://schemas.openxmlformats.org/officeDocument/2006/relationships" name="Установленные разре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</font>
    <font>
      <i val="1"/>
      <color rgb="00595959"/>
      <sz val="9"/>
    </font>
    <font>
      <b val="1"/>
      <sz val="12"/>
    </font>
    <font>
      <b val="1"/>
      <color rgb="00FFFFFF"/>
    </font>
    <font>
      <b val="1"/>
      <sz val="10"/>
    </font>
    <font>
      <sz val="10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Линейный график: ввод жилья в РФ, 2014–2025, млн м²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175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'Отчет'!$C$2:$N$2</f>
            </numRef>
          </cat>
          <val>
            <numRef>
              <f>'Отчет'!$C$3:$N$3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млн м²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Столбчатая диаграмма и линейный график: ввод жилья по застройщикам, 2017–2024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'Диаграммы'!P25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'Диаграммы'!$O$26:$O$33</f>
            </numRef>
          </cat>
          <val>
            <numRef>
              <f>'Диаграммы'!$P$26:$P$33</f>
            </numRef>
          </val>
        </ser>
        <ser>
          <idx val="1"/>
          <order val="1"/>
          <tx>
            <strRef>
              <f>'Диаграммы'!Q25</f>
            </strRef>
          </tx>
          <spPr>
            <a:solidFill xmlns:a="http://schemas.openxmlformats.org/drawingml/2006/main">
              <a:srgbClr val="A9C4E4"/>
            </a:solidFill>
            <a:ln xmlns:a="http://schemas.openxmlformats.org/drawingml/2006/main">
              <a:prstDash val="solid"/>
            </a:ln>
          </spPr>
          <cat>
            <numRef>
              <f>'Диаграммы'!$O$26:$O$33</f>
            </numRef>
          </cat>
          <val>
            <numRef>
              <f>'Диаграммы'!$Q$26:$Q$33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'Диаграммы'!R25</f>
            </strRef>
          </tx>
          <spPr>
            <a:ln xmlns:a="http://schemas.openxmlformats.org/drawingml/2006/main" w="28575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dLbls>
            <numFmt formatCode="0"/>
            <dLblPos val="t"/>
            <showLegendKey val="0"/>
            <showVal val="1"/>
            <showCatName val="0"/>
            <showSerName val="0"/>
          </dLbls>
          <val>
            <numRef>
              <f>'Диаграммы'!$R$26:$R$33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млн м²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 ИЖС,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78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C1" s="1" t="inlineStr">
        <is>
          <t>Ввод в действие жилых домов (общая площадь), миллион квадратных метров</t>
        </is>
      </c>
    </row>
    <row r="2">
      <c r="A2" s="2" t="n"/>
      <c r="B2" s="2" t="n"/>
      <c r="C2" s="3" t="inlineStr">
        <is>
          <t>2014 г.</t>
        </is>
      </c>
      <c r="D2" s="3" t="inlineStr">
        <is>
          <t>2015 г.</t>
        </is>
      </c>
      <c r="E2" s="3" t="inlineStr">
        <is>
          <t>2016 г.</t>
        </is>
      </c>
      <c r="F2" s="3" t="inlineStr">
        <is>
          <t>2017 г.</t>
        </is>
      </c>
      <c r="G2" s="3" t="inlineStr">
        <is>
          <t>2018 г.</t>
        </is>
      </c>
      <c r="H2" s="3" t="inlineStr">
        <is>
          <t>2019 г.</t>
        </is>
      </c>
      <c r="I2" s="3" t="inlineStr">
        <is>
          <t>2020 г.</t>
        </is>
      </c>
      <c r="J2" s="3" t="inlineStr">
        <is>
          <t>2021 г.</t>
        </is>
      </c>
      <c r="K2" s="3" t="inlineStr">
        <is>
          <t>2022 г.</t>
        </is>
      </c>
      <c r="L2" s="3" t="inlineStr">
        <is>
          <t>2023 г.</t>
        </is>
      </c>
      <c r="M2" s="3" t="inlineStr">
        <is>
          <t>2024 г.</t>
        </is>
      </c>
      <c r="N2" s="3" t="inlineStr">
        <is>
          <t>2025 г.</t>
        </is>
      </c>
    </row>
    <row r="3">
      <c r="A3" s="2" t="inlineStr">
        <is>
          <t>Российская Федерация – Всего</t>
        </is>
      </c>
      <c r="B3" s="2" t="inlineStr">
        <is>
          <t>643</t>
        </is>
      </c>
      <c r="C3" s="4" t="n">
        <v>84.2</v>
      </c>
      <c r="D3" s="4" t="n">
        <v>85.3</v>
      </c>
      <c r="E3" s="4" t="n">
        <v>80.2</v>
      </c>
      <c r="F3" s="4" t="n">
        <v>79.2</v>
      </c>
      <c r="G3" s="4" t="n">
        <v>75.7</v>
      </c>
      <c r="H3" s="4" t="n">
        <v>82</v>
      </c>
      <c r="I3" s="4" t="n">
        <v>82.2</v>
      </c>
      <c r="J3" s="4" t="n">
        <v>92.59999999999999</v>
      </c>
      <c r="K3" s="4" t="n">
        <v>102.7</v>
      </c>
      <c r="L3" s="4" t="n">
        <v>110.4</v>
      </c>
      <c r="M3" s="4" t="n">
        <v>107.8</v>
      </c>
      <c r="N3" s="4" t="n">
        <v>108.1</v>
      </c>
    </row>
    <row r="4">
      <c r="A4" s="2" t="inlineStr">
        <is>
          <t>Российская Федерация – Населением (индивидуальное жилищное строительство)</t>
        </is>
      </c>
      <c r="B4" s="2" t="inlineStr">
        <is>
          <t>643</t>
        </is>
      </c>
      <c r="C4" s="4" t="n"/>
      <c r="D4" s="4" t="n"/>
      <c r="E4" s="4" t="n"/>
      <c r="F4" s="4" t="n">
        <v>33</v>
      </c>
      <c r="G4" s="4" t="n">
        <v>32.4</v>
      </c>
      <c r="H4" s="4" t="n">
        <v>38.5</v>
      </c>
      <c r="I4" s="4" t="n">
        <v>39.8</v>
      </c>
      <c r="J4" s="4" t="n">
        <v>49.1</v>
      </c>
      <c r="K4" s="4" t="n">
        <v>57.2</v>
      </c>
      <c r="L4" s="4" t="n">
        <v>58.7</v>
      </c>
      <c r="M4" s="4" t="n">
        <v>62.3</v>
      </c>
      <c r="N4" s="4" t="n"/>
    </row>
    <row r="6">
      <c r="A6" s="5" t="inlineStr">
        <is>
          <t>* 2025 г. – оперативные данные. Данные по ИЖС за 2025 г. на момент выполнения работы не опубликованы.</t>
        </is>
      </c>
    </row>
    <row r="7">
      <c r="A7" s="5" t="inlineStr">
        <is>
          <t>** С августа 2019 г. в ввод включаются жилые дома, построенные населением на садовых участках.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5" max="15"/>
    <col width="14" customWidth="1" min="16" max="16"/>
    <col width="14" customWidth="1" min="17" max="17"/>
    <col width="11" customWidth="1" min="18" max="18"/>
  </cols>
  <sheetData>
    <row r="1">
      <c r="A1" s="6" t="inlineStr">
        <is>
          <t>Практическое занятие № 2. Визуализация Web-диаграмм. Статистика. Выполнил: Кокотанов</t>
        </is>
      </c>
    </row>
    <row r="2">
      <c r="A2" s="5" t="inlineStr">
        <is>
          <t>Вид экономической деятельности: «Строительство и недвижимость» → «Ввод в действие жилых домов». Источник: Росстат, витрина данных https://showdata.rosstat.gov.ru/finder/</t>
        </is>
      </c>
    </row>
    <row r="24">
      <c r="O24" s="1" t="inlineStr">
        <is>
          <t>Расчётная таблица для диаграммы 2, млн м²</t>
        </is>
      </c>
    </row>
    <row r="25" ht="30" customHeight="1">
      <c r="O25" s="7" t="inlineStr">
        <is>
          <t>Год</t>
        </is>
      </c>
      <c r="P25" s="7" t="inlineStr">
        <is>
          <t>Населением (ИЖС)</t>
        </is>
      </c>
      <c r="Q25" s="7" t="inlineStr">
        <is>
          <t>Организациями</t>
        </is>
      </c>
      <c r="R25" s="7" t="inlineStr">
        <is>
          <t>Доля ИЖС, %</t>
        </is>
      </c>
    </row>
    <row r="26">
      <c r="O26" s="8" t="inlineStr">
        <is>
          <t>2017 г.</t>
        </is>
      </c>
      <c r="P26" s="4">
        <f>Отчет!F4</f>
        <v/>
      </c>
      <c r="Q26" s="4">
        <f>Отчет!F3-Отчет!F4</f>
        <v/>
      </c>
      <c r="R26" s="4">
        <f>Отчет!F4/Отчет!F3*100</f>
        <v/>
      </c>
    </row>
    <row r="27">
      <c r="O27" s="8" t="inlineStr">
        <is>
          <t>2018 г.</t>
        </is>
      </c>
      <c r="P27" s="4">
        <f>Отчет!G4</f>
        <v/>
      </c>
      <c r="Q27" s="4">
        <f>Отчет!G3-Отчет!G4</f>
        <v/>
      </c>
      <c r="R27" s="4">
        <f>Отчет!G4/Отчет!G3*100</f>
        <v/>
      </c>
    </row>
    <row r="28">
      <c r="O28" s="8" t="inlineStr">
        <is>
          <t>2019 г.</t>
        </is>
      </c>
      <c r="P28" s="4">
        <f>Отчет!H4</f>
        <v/>
      </c>
      <c r="Q28" s="4">
        <f>Отчет!H3-Отчет!H4</f>
        <v/>
      </c>
      <c r="R28" s="4">
        <f>Отчет!H4/Отчет!H3*100</f>
        <v/>
      </c>
    </row>
    <row r="29">
      <c r="O29" s="8" t="inlineStr">
        <is>
          <t>2020 г.</t>
        </is>
      </c>
      <c r="P29" s="4">
        <f>Отчет!I4</f>
        <v/>
      </c>
      <c r="Q29" s="4">
        <f>Отчет!I3-Отчет!I4</f>
        <v/>
      </c>
      <c r="R29" s="4">
        <f>Отчет!I4/Отчет!I3*100</f>
        <v/>
      </c>
    </row>
    <row r="30">
      <c r="O30" s="8" t="inlineStr">
        <is>
          <t>2021 г.</t>
        </is>
      </c>
      <c r="P30" s="4">
        <f>Отчет!J4</f>
        <v/>
      </c>
      <c r="Q30" s="4">
        <f>Отчет!J3-Отчет!J4</f>
        <v/>
      </c>
      <c r="R30" s="4">
        <f>Отчет!J4/Отчет!J3*100</f>
        <v/>
      </c>
    </row>
    <row r="31">
      <c r="O31" s="8" t="inlineStr">
        <is>
          <t>2022 г.</t>
        </is>
      </c>
      <c r="P31" s="4">
        <f>Отчет!K4</f>
        <v/>
      </c>
      <c r="Q31" s="4">
        <f>Отчет!K3-Отчет!K4</f>
        <v/>
      </c>
      <c r="R31" s="4">
        <f>Отчет!K4/Отчет!K3*100</f>
        <v/>
      </c>
    </row>
    <row r="32">
      <c r="O32" s="8" t="inlineStr">
        <is>
          <t>2023 г.</t>
        </is>
      </c>
      <c r="P32" s="4">
        <f>Отчет!L4</f>
        <v/>
      </c>
      <c r="Q32" s="4">
        <f>Отчет!L3-Отчет!L4</f>
        <v/>
      </c>
      <c r="R32" s="4">
        <f>Отчет!L4/Отчет!L3*100</f>
        <v/>
      </c>
    </row>
    <row r="33">
      <c r="O33" s="8" t="inlineStr">
        <is>
          <t>2024 г.</t>
        </is>
      </c>
      <c r="P33" s="4">
        <f>Отчет!M4</f>
        <v/>
      </c>
      <c r="Q33" s="4">
        <f>Отчет!M3-Отчет!M4</f>
        <v/>
      </c>
      <c r="R33" s="4">
        <f>Отчет!M4/Отчет!M3*100</f>
        <v/>
      </c>
    </row>
    <row r="44">
      <c r="A44" s="9" t="inlineStr">
        <is>
          <t>Выводы:</t>
        </is>
      </c>
    </row>
    <row r="45">
      <c r="A45" s="10" t="inlineStr">
        <is>
          <t>1. За 2014–2025 гг. ввод жилья в России вырос с 84,2 до 108,1 млн м²; после спада 2016–2018 гг. начался рост, максимум – 110,4 млн м² в 2023 г.</t>
        </is>
      </c>
    </row>
    <row r="46">
      <c r="A46" s="10" t="inlineStr">
        <is>
          <t>2. Рост обеспечен в основном индивидуальным жилищным строительством: ИЖС почти удвоилось (33,0 → 62,3 млн м² в 2017–2024 гг.),</t>
        </is>
      </c>
    </row>
    <row r="47">
      <c r="A47" s="10" t="inlineStr">
        <is>
          <t xml:space="preserve">   его доля в общем вводе выросла с ~42% до ~58%, а ввод организациями (многоквартирные дома) колеблется в пределах 42–52 млн м².</t>
        </is>
      </c>
    </row>
    <row r="48">
      <c r="A48" s="10" t="inlineStr">
        <is>
          <t>3. В 2024 г. ввод снизился на ~2% к рекордному 2023 г., в 2025 г. стабилизировался (108,1 млн м², оперативные данные).</t>
        </is>
      </c>
    </row>
    <row r="49">
      <c r="A49" s="10" t="inlineStr">
        <is>
          <t>Типы графиков выбраны по Руководству пользователя витрины (п. 3.4.3.6): «линейный график», «столбчатая диаграмма и линейный график».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1" t="inlineStr">
        <is>
          <t>Ввод в действие жилых домов (общая площадь)</t>
        </is>
      </c>
    </row>
    <row r="2">
      <c r="A2" s="11" t="inlineStr">
        <is>
          <t>ЕДИНИЦА ИЗМЕРЕНИЯ</t>
        </is>
      </c>
      <c r="B2" t="inlineStr">
        <is>
          <t>Миллион квадратных метров</t>
        </is>
      </c>
    </row>
    <row r="3">
      <c r="A3" s="11" t="inlineStr">
        <is>
          <t>ТИП СБОРА</t>
        </is>
      </c>
      <c r="B3" t="inlineStr">
        <is>
          <t>За год</t>
        </is>
      </c>
    </row>
    <row r="4">
      <c r="A4" s="11" t="inlineStr">
        <is>
          <t>ПЕРИОД</t>
        </is>
      </c>
      <c r="B4" t="inlineStr">
        <is>
          <t>2014 г., 2015 г., 2016 г., 2017 г., 2018 г., 2019 г., 2020 г., 2021 г., 2022 г., 2023 г., 2024 г., 2025 г.</t>
        </is>
      </c>
    </row>
    <row r="5">
      <c r="A5" s="11" t="inlineStr">
        <is>
          <t>ОКАТО</t>
        </is>
      </c>
      <c r="B5" t="inlineStr">
        <is>
          <t>643 Российская Федерация</t>
        </is>
      </c>
    </row>
    <row r="6">
      <c r="A6" s="11" t="inlineStr">
        <is>
          <t>ТИП ЗАСТРОЙЩИКА</t>
        </is>
      </c>
      <c r="B6" t="inlineStr">
        <is>
          <t>Всего; Населением (индивидуальное жилищное строительство)</t>
        </is>
      </c>
    </row>
    <row r="7">
      <c r="A7" s="11" t="inlineStr">
        <is>
          <t>ВИД ЭКОНОМИЧЕСКОЙ ДЕЯТЕЛЬНОСТИ (раздел витрины)</t>
        </is>
      </c>
      <c r="B7" t="inlineStr">
        <is>
          <t>Строительство и недвижимость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2026-10-11T11:27:45Z</dcterms:created>
  <dcterms:modified xmlns:dcterms="http://purl.org/dc/terms/" xmlns:xsi="http://www.w3.org/2001/XMLSchema-instance" xsi:type="dcterms:W3CDTF">2026-10-11T11:27:45Z</dcterms:modified>
</cp:coreProperties>
</file>